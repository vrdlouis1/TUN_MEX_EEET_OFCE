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viard/Desktop/6. EEET/Projet_Mod_OFCE/EEET_OFCE/data/Mexique/"/>
    </mc:Choice>
  </mc:AlternateContent>
  <xr:revisionPtr revIDLastSave="0" documentId="13_ncr:1_{8F125F0C-6E76-1843-9CC7-5C5999A82A04}" xr6:coauthVersionLast="47" xr6:coauthVersionMax="47" xr10:uidLastSave="{00000000-0000-0000-0000-000000000000}"/>
  <bookViews>
    <workbookView xWindow="0" yWindow="760" windowWidth="29400" windowHeight="18360" activeTab="1" xr2:uid="{CFB03DB3-259C-4B14-B7E9-937767ACAD51}"/>
  </bookViews>
  <sheets>
    <sheet name="TAX" sheetId="1" r:id="rId1"/>
    <sheet name="TAX_LONG" sheetId="3" r:id="rId2"/>
    <sheet name="variable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0" i="1" l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<sst xmlns="http://schemas.openxmlformats.org/spreadsheetml/2006/main" count="80" uniqueCount="70">
  <si>
    <t>RCO2TAX_VOL_CCOA</t>
  </si>
  <si>
    <t>RCO2TAX_VOL_CDIE</t>
  </si>
  <si>
    <t>RCO2TAX_VOL_CGSL</t>
  </si>
  <si>
    <t>RCO2TAX_VOL_CLPG</t>
  </si>
  <si>
    <t>RCO2TAX_VOL_CKER</t>
  </si>
  <si>
    <t>RCO2TAX_VOL_CCOK</t>
  </si>
  <si>
    <t>RCO2TAX_VOL_COIL</t>
  </si>
  <si>
    <t>RCO2TAX_VOL_CGAS</t>
  </si>
  <si>
    <t>RCO2TAX_VOL_COTE</t>
  </si>
  <si>
    <t>name</t>
  </si>
  <si>
    <t>code</t>
  </si>
  <si>
    <t>Agriculture, livestock, fishing and forestry</t>
  </si>
  <si>
    <t>cagr</t>
  </si>
  <si>
    <t>Manufacture of food, beverages and snuff</t>
  </si>
  <si>
    <t>cfoo</t>
  </si>
  <si>
    <t>Manufacture of articles of paper and paperboard</t>
  </si>
  <si>
    <t>cpap</t>
  </si>
  <si>
    <t>Manufacture of chemical</t>
  </si>
  <si>
    <t>cche</t>
  </si>
  <si>
    <t>Manufacture of cement and concrete</t>
  </si>
  <si>
    <t>ccem</t>
  </si>
  <si>
    <t>Manufacture of steel</t>
  </si>
  <si>
    <t>cmet</t>
  </si>
  <si>
    <t>Manufacture of machine and equipment</t>
  </si>
  <si>
    <t>cmac</t>
  </si>
  <si>
    <t>Manufacture of automobiles</t>
  </si>
  <si>
    <t>caut</t>
  </si>
  <si>
    <t>Crude oil</t>
  </si>
  <si>
    <t>ceco</t>
  </si>
  <si>
    <t>Construction of buildings</t>
  </si>
  <si>
    <t>ccon</t>
  </si>
  <si>
    <t>Other industries</t>
  </si>
  <si>
    <t>coth</t>
  </si>
  <si>
    <t>Air transport</t>
  </si>
  <si>
    <t>cair</t>
  </si>
  <si>
    <t>Rail transport</t>
  </si>
  <si>
    <t>crai</t>
  </si>
  <si>
    <t>Freight transport by road</t>
  </si>
  <si>
    <t>crfr</t>
  </si>
  <si>
    <t>Passenger transport by road</t>
  </si>
  <si>
    <t>crpa</t>
  </si>
  <si>
    <t>Other transports</t>
  </si>
  <si>
    <t>ctra</t>
  </si>
  <si>
    <t>Business services</t>
  </si>
  <si>
    <t>cbus</t>
  </si>
  <si>
    <t>Public services</t>
  </si>
  <si>
    <t>cpub</t>
  </si>
  <si>
    <t>Coal</t>
  </si>
  <si>
    <t>ccoa</t>
  </si>
  <si>
    <t>Diesel</t>
  </si>
  <si>
    <t>cdie</t>
  </si>
  <si>
    <t>Gasoline</t>
  </si>
  <si>
    <t>cgsl</t>
  </si>
  <si>
    <t>LPG</t>
  </si>
  <si>
    <t>clpg</t>
  </si>
  <si>
    <t>Kerosene</t>
  </si>
  <si>
    <t>cker</t>
  </si>
  <si>
    <t>Petroleum coke</t>
  </si>
  <si>
    <t>ccok</t>
  </si>
  <si>
    <t>Other refined oil</t>
  </si>
  <si>
    <t>coil</t>
  </si>
  <si>
    <t>Gas</t>
  </si>
  <si>
    <t>cgas</t>
  </si>
  <si>
    <t>Electricity</t>
  </si>
  <si>
    <t>cele</t>
  </si>
  <si>
    <t>Biomass</t>
  </si>
  <si>
    <t>cote</t>
  </si>
  <si>
    <t>pesos por tonelada CO2e</t>
  </si>
  <si>
    <t xml:space="preserve">unit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</si>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</sst>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Mon%20Drive/OFCE/Cours/Master%20EEET_projet%20etudiant%20Tunisie/Master%20EEET%202024-2025/Outputs%20&amp;%20Data%20Mexique/scenarii_inputs_hacienda.xlsx" TargetMode="External"/><Relationship Id="rId1" Type="http://schemas.openxmlformats.org/officeDocument/2006/relationships/externalLinkPath" Target="file:///G:/Mon%20Drive/OFCE/Cours/Master%20EEET_projet%20etudiant%20Tunisie/Master%20EEET%202024-2025/Outputs%20&amp;%20Data%20Mexique/scenarii_inputs_hacie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pothesis Potential GDP growth"/>
      <sheetName val="Hypothesis Energy efficiency"/>
      <sheetName val="Hypothesis fossil prices Bloomb"/>
      <sheetName val="Hypothesis EIA (Brent)"/>
      <sheetName val="Hypothesis EIA fossil prices"/>
      <sheetName val="hypothesis carbon tax"/>
      <sheetName val="Hypothesis tarif&amp;IEPS"/>
      <sheetName val="Hypothesis Electric Mix_Pro2023"/>
      <sheetName val="Hypothesis Electric Mix_Meta"/>
      <sheetName val="carbontax"/>
      <sheetName val="intensity_ems"/>
      <sheetName val="ct_redis E1"/>
      <sheetName val="ct_redis2 E1"/>
      <sheetName val="ct_redis2_E2"/>
      <sheetName val="ct_redis3_E2"/>
      <sheetName val="carbontax_target"/>
      <sheetName val="Electricity_tarif"/>
      <sheetName val="IEPS_Autotransporte"/>
      <sheetName val="IEPS_HH"/>
      <sheetName val="Electric_MIX"/>
      <sheetName val="pets1_mex"/>
      <sheetName val="pets2_mex"/>
      <sheetName val="M_Redistribución"/>
      <sheetName val="M_pets1_mex_v2"/>
      <sheetName val="M_carbon tax "/>
      <sheetName val="M_Electricity_tarif"/>
      <sheetName val="M_Capacidad del SEN 2023-2052"/>
      <sheetName val="M_IEPS_Autotransporte"/>
      <sheetName val="base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31">
          <cell r="G31">
            <v>22.919577820722459</v>
          </cell>
          <cell r="H31">
            <v>220.49860956061926</v>
          </cell>
          <cell r="I31">
            <v>418.07764130051606</v>
          </cell>
          <cell r="J31">
            <v>615.6566730404129</v>
          </cell>
          <cell r="K31">
            <v>813.23570478030967</v>
          </cell>
          <cell r="L31">
            <v>1010.8147365202065</v>
          </cell>
          <cell r="M31">
            <v>1208.3937682601033</v>
          </cell>
          <cell r="N31">
            <v>1405.9728</v>
          </cell>
          <cell r="O31">
            <v>1448.1519840000001</v>
          </cell>
          <cell r="P31">
            <v>1491.5965435200001</v>
          </cell>
          <cell r="Q31">
            <v>1536.3444398256001</v>
          </cell>
          <cell r="R31">
            <v>1582.4347730203681</v>
          </cell>
          <cell r="S31">
            <v>1629.9078162109793</v>
          </cell>
          <cell r="T31">
            <v>1678.8050506973086</v>
          </cell>
          <cell r="U31">
            <v>1729.1692022182278</v>
          </cell>
          <cell r="V31">
            <v>1781.0442782847747</v>
          </cell>
          <cell r="W31">
            <v>1834.475606633318</v>
          </cell>
          <cell r="X31">
            <v>1889.5098748323176</v>
          </cell>
          <cell r="Y31">
            <v>1946.1951710772871</v>
          </cell>
          <cell r="Z31">
            <v>2004.5810262096059</v>
          </cell>
          <cell r="AA31">
            <v>2064.718456995894</v>
          </cell>
          <cell r="AB31">
            <v>2126.6600107057711</v>
          </cell>
          <cell r="AC31">
            <v>2190.4598110269444</v>
          </cell>
          <cell r="AD31">
            <v>2256.1736053577529</v>
          </cell>
          <cell r="AE31">
            <v>2323.8588135184855</v>
          </cell>
          <cell r="AF31">
            <v>2393.5745779240401</v>
          </cell>
          <cell r="AG31">
            <v>2465.3818152617614</v>
          </cell>
          <cell r="AH31">
            <v>2539.3432697196145</v>
          </cell>
          <cell r="AI31">
            <v>2615.5235678112031</v>
          </cell>
          <cell r="AJ31">
            <v>2693.9892748455391</v>
          </cell>
          <cell r="AK31">
            <v>2774.8089530909051</v>
          </cell>
          <cell r="AL31">
            <v>2858.0532216836323</v>
          </cell>
          <cell r="AM31">
            <v>2943.7948183341414</v>
          </cell>
          <cell r="AN31">
            <v>3032.1086628841658</v>
          </cell>
          <cell r="AO31">
            <v>3123.0719227706909</v>
          </cell>
          <cell r="AP31">
            <v>3216.7640804538119</v>
          </cell>
          <cell r="AQ31">
            <v>3313.2670028674261</v>
          </cell>
          <cell r="AR31">
            <v>3412.6650129534491</v>
          </cell>
          <cell r="AS31">
            <v>3515.0449633420526</v>
          </cell>
          <cell r="AT31">
            <v>3620.4963122423142</v>
          </cell>
          <cell r="AU31">
            <v>3729.1112016095835</v>
          </cell>
          <cell r="AV31">
            <v>3840.984537657871</v>
          </cell>
        </row>
        <row r="32">
          <cell r="G32">
            <v>68.193908194791589</v>
          </cell>
          <cell r="H32">
            <v>259.30517845267849</v>
          </cell>
          <cell r="I32">
            <v>450.41644871056542</v>
          </cell>
          <cell r="J32">
            <v>641.52771896845229</v>
          </cell>
          <cell r="K32">
            <v>832.63898922633916</v>
          </cell>
          <cell r="L32">
            <v>1023.750259484226</v>
          </cell>
          <cell r="M32">
            <v>1214.8615297421129</v>
          </cell>
          <cell r="N32">
            <v>1405.9728</v>
          </cell>
          <cell r="O32">
            <v>1448.1519840000001</v>
          </cell>
          <cell r="P32">
            <v>1491.5965435200001</v>
          </cell>
          <cell r="Q32">
            <v>1536.3444398256001</v>
          </cell>
          <cell r="R32">
            <v>1582.4347730203681</v>
          </cell>
          <cell r="S32">
            <v>1629.9078162109793</v>
          </cell>
          <cell r="T32">
            <v>1678.8050506973086</v>
          </cell>
          <cell r="U32">
            <v>1729.1692022182278</v>
          </cell>
          <cell r="V32">
            <v>1781.0442782847747</v>
          </cell>
          <cell r="W32">
            <v>1834.475606633318</v>
          </cell>
          <cell r="X32">
            <v>1889.5098748323176</v>
          </cell>
          <cell r="Y32">
            <v>1946.1951710772871</v>
          </cell>
          <cell r="Z32">
            <v>2004.5810262096059</v>
          </cell>
          <cell r="AA32">
            <v>2064.718456995894</v>
          </cell>
          <cell r="AB32">
            <v>2126.6600107057711</v>
          </cell>
          <cell r="AC32">
            <v>2190.4598110269444</v>
          </cell>
          <cell r="AD32">
            <v>2256.1736053577529</v>
          </cell>
          <cell r="AE32">
            <v>2323.8588135184855</v>
          </cell>
          <cell r="AF32">
            <v>2393.5745779240401</v>
          </cell>
          <cell r="AG32">
            <v>2465.3818152617614</v>
          </cell>
          <cell r="AH32">
            <v>2539.3432697196145</v>
          </cell>
          <cell r="AI32">
            <v>2615.5235678112031</v>
          </cell>
          <cell r="AJ32">
            <v>2693.9892748455391</v>
          </cell>
          <cell r="AK32">
            <v>2774.8089530909051</v>
          </cell>
          <cell r="AL32">
            <v>2858.0532216836323</v>
          </cell>
          <cell r="AM32">
            <v>2943.7948183341414</v>
          </cell>
          <cell r="AN32">
            <v>3032.1086628841658</v>
          </cell>
          <cell r="AO32">
            <v>3123.0719227706909</v>
          </cell>
          <cell r="AP32">
            <v>3216.7640804538119</v>
          </cell>
          <cell r="AQ32">
            <v>3313.2670028674261</v>
          </cell>
          <cell r="AR32">
            <v>3412.6650129534491</v>
          </cell>
          <cell r="AS32">
            <v>3515.0449633420526</v>
          </cell>
          <cell r="AT32">
            <v>3620.4963122423142</v>
          </cell>
          <cell r="AU32">
            <v>3729.1112016095835</v>
          </cell>
          <cell r="AV32">
            <v>3840.984537657871</v>
          </cell>
        </row>
        <row r="33">
          <cell r="G33">
            <v>75.288846302979579</v>
          </cell>
          <cell r="H33">
            <v>265.38655397398247</v>
          </cell>
          <cell r="I33">
            <v>455.48426164498539</v>
          </cell>
          <cell r="J33">
            <v>645.58196931598832</v>
          </cell>
          <cell r="K33">
            <v>835.67967698699124</v>
          </cell>
          <cell r="L33">
            <v>1025.7773846579942</v>
          </cell>
          <cell r="M33">
            <v>1215.875092328997</v>
          </cell>
          <cell r="N33">
            <v>1405.9728</v>
          </cell>
          <cell r="O33">
            <v>1448.1519840000001</v>
          </cell>
          <cell r="P33">
            <v>1491.5965435200001</v>
          </cell>
          <cell r="Q33">
            <v>1536.3444398256001</v>
          </cell>
          <cell r="R33">
            <v>1582.4347730203681</v>
          </cell>
          <cell r="S33">
            <v>1629.9078162109793</v>
          </cell>
          <cell r="T33">
            <v>1678.8050506973086</v>
          </cell>
          <cell r="U33">
            <v>1729.1692022182278</v>
          </cell>
          <cell r="V33">
            <v>1781.0442782847747</v>
          </cell>
          <cell r="W33">
            <v>1834.475606633318</v>
          </cell>
          <cell r="X33">
            <v>1889.5098748323176</v>
          </cell>
          <cell r="Y33">
            <v>1946.1951710772871</v>
          </cell>
          <cell r="Z33">
            <v>2004.5810262096059</v>
          </cell>
          <cell r="AA33">
            <v>2064.718456995894</v>
          </cell>
          <cell r="AB33">
            <v>2126.6600107057711</v>
          </cell>
          <cell r="AC33">
            <v>2190.4598110269444</v>
          </cell>
          <cell r="AD33">
            <v>2256.1736053577529</v>
          </cell>
          <cell r="AE33">
            <v>2323.8588135184855</v>
          </cell>
          <cell r="AF33">
            <v>2393.5745779240401</v>
          </cell>
          <cell r="AG33">
            <v>2465.3818152617614</v>
          </cell>
          <cell r="AH33">
            <v>2539.3432697196145</v>
          </cell>
          <cell r="AI33">
            <v>2615.5235678112031</v>
          </cell>
          <cell r="AJ33">
            <v>2693.9892748455391</v>
          </cell>
          <cell r="AK33">
            <v>2774.8089530909051</v>
          </cell>
          <cell r="AL33">
            <v>2858.0532216836323</v>
          </cell>
          <cell r="AM33">
            <v>2943.7948183341414</v>
          </cell>
          <cell r="AN33">
            <v>3032.1086628841658</v>
          </cell>
          <cell r="AO33">
            <v>3123.0719227706909</v>
          </cell>
          <cell r="AP33">
            <v>3216.7640804538119</v>
          </cell>
          <cell r="AQ33">
            <v>3313.2670028674261</v>
          </cell>
          <cell r="AR33">
            <v>3412.6650129534491</v>
          </cell>
          <cell r="AS33">
            <v>3515.0449633420526</v>
          </cell>
          <cell r="AT33">
            <v>3620.4963122423142</v>
          </cell>
          <cell r="AU33">
            <v>3729.1112016095835</v>
          </cell>
          <cell r="AV33">
            <v>3840.984537657871</v>
          </cell>
        </row>
        <row r="34">
          <cell r="G34">
            <v>55.865662686959148</v>
          </cell>
          <cell r="H34">
            <v>248.7381108745364</v>
          </cell>
          <cell r="I34">
            <v>441.61055906211368</v>
          </cell>
          <cell r="J34">
            <v>634.4830072496909</v>
          </cell>
          <cell r="K34">
            <v>827.35545543726812</v>
          </cell>
          <cell r="L34">
            <v>1020.2279036248453</v>
          </cell>
          <cell r="M34">
            <v>1213.1003518124226</v>
          </cell>
          <cell r="N34">
            <v>1405.9728</v>
          </cell>
          <cell r="O34">
            <v>1448.1519840000001</v>
          </cell>
          <cell r="P34">
            <v>1491.5965435200001</v>
          </cell>
          <cell r="Q34">
            <v>1536.3444398256001</v>
          </cell>
          <cell r="R34">
            <v>1582.4347730203681</v>
          </cell>
          <cell r="S34">
            <v>1629.9078162109793</v>
          </cell>
          <cell r="T34">
            <v>1678.8050506973086</v>
          </cell>
          <cell r="U34">
            <v>1729.1692022182278</v>
          </cell>
          <cell r="V34">
            <v>1781.0442782847747</v>
          </cell>
          <cell r="W34">
            <v>1834.475606633318</v>
          </cell>
          <cell r="X34">
            <v>1889.5098748323176</v>
          </cell>
          <cell r="Y34">
            <v>1946.1951710772871</v>
          </cell>
          <cell r="Z34">
            <v>2004.5810262096059</v>
          </cell>
          <cell r="AA34">
            <v>2064.718456995894</v>
          </cell>
          <cell r="AB34">
            <v>2126.6600107057711</v>
          </cell>
          <cell r="AC34">
            <v>2190.4598110269444</v>
          </cell>
          <cell r="AD34">
            <v>2256.1736053577529</v>
          </cell>
          <cell r="AE34">
            <v>2323.8588135184855</v>
          </cell>
          <cell r="AF34">
            <v>2393.5745779240401</v>
          </cell>
          <cell r="AG34">
            <v>2465.3818152617614</v>
          </cell>
          <cell r="AH34">
            <v>2539.3432697196145</v>
          </cell>
          <cell r="AI34">
            <v>2615.5235678112031</v>
          </cell>
          <cell r="AJ34">
            <v>2693.9892748455391</v>
          </cell>
          <cell r="AK34">
            <v>2774.8089530909051</v>
          </cell>
          <cell r="AL34">
            <v>2858.0532216836323</v>
          </cell>
          <cell r="AM34">
            <v>2943.7948183341414</v>
          </cell>
          <cell r="AN34">
            <v>3032.1086628841658</v>
          </cell>
          <cell r="AO34">
            <v>3123.0719227706909</v>
          </cell>
          <cell r="AP34">
            <v>3216.7640804538119</v>
          </cell>
          <cell r="AQ34">
            <v>3313.2670028674261</v>
          </cell>
          <cell r="AR34">
            <v>3412.6650129534491</v>
          </cell>
          <cell r="AS34">
            <v>3515.0449633420526</v>
          </cell>
          <cell r="AT34">
            <v>3620.4963122423142</v>
          </cell>
          <cell r="AU34">
            <v>3729.1112016095835</v>
          </cell>
          <cell r="AV34">
            <v>3840.984537657871</v>
          </cell>
        </row>
        <row r="35">
          <cell r="G35">
            <v>70.481531243553476</v>
          </cell>
          <cell r="H35">
            <v>261.2659982087601</v>
          </cell>
          <cell r="I35">
            <v>452.0504651739667</v>
          </cell>
          <cell r="J35">
            <v>642.83493213917336</v>
          </cell>
          <cell r="K35">
            <v>833.61939910438002</v>
          </cell>
          <cell r="L35">
            <v>1024.4038660695867</v>
          </cell>
          <cell r="M35">
            <v>1215.1883330347932</v>
          </cell>
          <cell r="N35">
            <v>1405.9728</v>
          </cell>
          <cell r="O35">
            <v>1448.1519840000001</v>
          </cell>
          <cell r="P35">
            <v>1491.5965435200001</v>
          </cell>
          <cell r="Q35">
            <v>1536.3444398256001</v>
          </cell>
          <cell r="R35">
            <v>1582.4347730203681</v>
          </cell>
          <cell r="S35">
            <v>1629.9078162109793</v>
          </cell>
          <cell r="T35">
            <v>1678.8050506973086</v>
          </cell>
          <cell r="U35">
            <v>1729.1692022182278</v>
          </cell>
          <cell r="V35">
            <v>1781.0442782847747</v>
          </cell>
          <cell r="W35">
            <v>1834.475606633318</v>
          </cell>
          <cell r="X35">
            <v>1889.5098748323176</v>
          </cell>
          <cell r="Y35">
            <v>1946.1951710772871</v>
          </cell>
          <cell r="Z35">
            <v>2004.5810262096059</v>
          </cell>
          <cell r="AA35">
            <v>2064.718456995894</v>
          </cell>
          <cell r="AB35">
            <v>2126.6600107057711</v>
          </cell>
          <cell r="AC35">
            <v>2190.4598110269444</v>
          </cell>
          <cell r="AD35">
            <v>2256.1736053577529</v>
          </cell>
          <cell r="AE35">
            <v>2323.8588135184855</v>
          </cell>
          <cell r="AF35">
            <v>2393.5745779240401</v>
          </cell>
          <cell r="AG35">
            <v>2465.3818152617614</v>
          </cell>
          <cell r="AH35">
            <v>2539.3432697196145</v>
          </cell>
          <cell r="AI35">
            <v>2615.5235678112031</v>
          </cell>
          <cell r="AJ35">
            <v>2693.9892748455391</v>
          </cell>
          <cell r="AK35">
            <v>2774.8089530909051</v>
          </cell>
          <cell r="AL35">
            <v>2858.0532216836323</v>
          </cell>
          <cell r="AM35">
            <v>2943.7948183341414</v>
          </cell>
          <cell r="AN35">
            <v>3032.1086628841658</v>
          </cell>
          <cell r="AO35">
            <v>3123.0719227706909</v>
          </cell>
          <cell r="AP35">
            <v>3216.7640804538119</v>
          </cell>
          <cell r="AQ35">
            <v>3313.2670028674261</v>
          </cell>
          <cell r="AR35">
            <v>3412.6650129534491</v>
          </cell>
          <cell r="AS35">
            <v>3515.0449633420526</v>
          </cell>
          <cell r="AT35">
            <v>3620.4963122423142</v>
          </cell>
          <cell r="AU35">
            <v>3729.1112016095835</v>
          </cell>
          <cell r="AV35">
            <v>3840.984537657871</v>
          </cell>
        </row>
        <row r="36">
          <cell r="G36">
            <v>7.4062663406775107</v>
          </cell>
          <cell r="H36">
            <v>207.20148543486644</v>
          </cell>
          <cell r="I36">
            <v>406.99670452905536</v>
          </cell>
          <cell r="J36">
            <v>606.79192362324432</v>
          </cell>
          <cell r="K36">
            <v>806.58714271743327</v>
          </cell>
          <cell r="L36">
            <v>1006.3823618116222</v>
          </cell>
          <cell r="M36">
            <v>1206.1775809058111</v>
          </cell>
          <cell r="N36">
            <v>1405.9728</v>
          </cell>
          <cell r="O36">
            <v>1448.1519840000001</v>
          </cell>
          <cell r="P36">
            <v>1491.5965435200001</v>
          </cell>
          <cell r="Q36">
            <v>1536.3444398256001</v>
          </cell>
          <cell r="R36">
            <v>1582.4347730203681</v>
          </cell>
          <cell r="S36">
            <v>1629.9078162109793</v>
          </cell>
          <cell r="T36">
            <v>1678.8050506973086</v>
          </cell>
          <cell r="U36">
            <v>1729.1692022182278</v>
          </cell>
          <cell r="V36">
            <v>1781.0442782847747</v>
          </cell>
          <cell r="W36">
            <v>1834.475606633318</v>
          </cell>
          <cell r="X36">
            <v>1889.5098748323176</v>
          </cell>
          <cell r="Y36">
            <v>1946.1951710772871</v>
          </cell>
          <cell r="Z36">
            <v>2004.5810262096059</v>
          </cell>
          <cell r="AA36">
            <v>2064.718456995894</v>
          </cell>
          <cell r="AB36">
            <v>2126.6600107057711</v>
          </cell>
          <cell r="AC36">
            <v>2190.4598110269444</v>
          </cell>
          <cell r="AD36">
            <v>2256.1736053577529</v>
          </cell>
          <cell r="AE36">
            <v>2323.8588135184855</v>
          </cell>
          <cell r="AF36">
            <v>2393.5745779240401</v>
          </cell>
          <cell r="AG36">
            <v>2465.3818152617614</v>
          </cell>
          <cell r="AH36">
            <v>2539.3432697196145</v>
          </cell>
          <cell r="AI36">
            <v>2615.5235678112031</v>
          </cell>
          <cell r="AJ36">
            <v>2693.9892748455391</v>
          </cell>
          <cell r="AK36">
            <v>2774.8089530909051</v>
          </cell>
          <cell r="AL36">
            <v>2858.0532216836323</v>
          </cell>
          <cell r="AM36">
            <v>2943.7948183341414</v>
          </cell>
          <cell r="AN36">
            <v>3032.1086628841658</v>
          </cell>
          <cell r="AO36">
            <v>3123.0719227706909</v>
          </cell>
          <cell r="AP36">
            <v>3216.7640804538119</v>
          </cell>
          <cell r="AQ36">
            <v>3313.2670028674261</v>
          </cell>
          <cell r="AR36">
            <v>3412.6650129534491</v>
          </cell>
          <cell r="AS36">
            <v>3515.0449633420526</v>
          </cell>
          <cell r="AT36">
            <v>3620.4963122423142</v>
          </cell>
          <cell r="AU36">
            <v>3729.1112016095835</v>
          </cell>
          <cell r="AV36">
            <v>3840.984537657871</v>
          </cell>
        </row>
        <row r="37">
          <cell r="G37">
            <v>50.025965431613962</v>
          </cell>
          <cell r="H37">
            <v>243.73265608424055</v>
          </cell>
          <cell r="I37">
            <v>437.43934673686715</v>
          </cell>
          <cell r="J37">
            <v>631.1460373894937</v>
          </cell>
          <cell r="K37">
            <v>824.85272804212025</v>
          </cell>
          <cell r="L37">
            <v>1018.5594186947468</v>
          </cell>
          <cell r="M37">
            <v>1212.2661093473735</v>
          </cell>
          <cell r="N37">
            <v>1405.9728</v>
          </cell>
          <cell r="O37">
            <v>1448.1519840000001</v>
          </cell>
          <cell r="P37">
            <v>1491.5965435200001</v>
          </cell>
          <cell r="Q37">
            <v>1536.3444398256001</v>
          </cell>
          <cell r="R37">
            <v>1582.4347730203681</v>
          </cell>
          <cell r="S37">
            <v>1629.9078162109793</v>
          </cell>
          <cell r="T37">
            <v>1678.8050506973086</v>
          </cell>
          <cell r="U37">
            <v>1729.1692022182278</v>
          </cell>
          <cell r="V37">
            <v>1781.0442782847747</v>
          </cell>
          <cell r="W37">
            <v>1834.475606633318</v>
          </cell>
          <cell r="X37">
            <v>1889.5098748323176</v>
          </cell>
          <cell r="Y37">
            <v>1946.1951710772871</v>
          </cell>
          <cell r="Z37">
            <v>2004.5810262096059</v>
          </cell>
          <cell r="AA37">
            <v>2064.718456995894</v>
          </cell>
          <cell r="AB37">
            <v>2126.6600107057711</v>
          </cell>
          <cell r="AC37">
            <v>2190.4598110269444</v>
          </cell>
          <cell r="AD37">
            <v>2256.1736053577529</v>
          </cell>
          <cell r="AE37">
            <v>2323.8588135184855</v>
          </cell>
          <cell r="AF37">
            <v>2393.5745779240401</v>
          </cell>
          <cell r="AG37">
            <v>2465.3818152617614</v>
          </cell>
          <cell r="AH37">
            <v>2539.3432697196145</v>
          </cell>
          <cell r="AI37">
            <v>2615.5235678112031</v>
          </cell>
          <cell r="AJ37">
            <v>2693.9892748455391</v>
          </cell>
          <cell r="AK37">
            <v>2774.8089530909051</v>
          </cell>
          <cell r="AL37">
            <v>2858.0532216836323</v>
          </cell>
          <cell r="AM37">
            <v>2943.7948183341414</v>
          </cell>
          <cell r="AN37">
            <v>3032.1086628841658</v>
          </cell>
          <cell r="AO37">
            <v>3123.0719227706909</v>
          </cell>
          <cell r="AP37">
            <v>3216.7640804538119</v>
          </cell>
          <cell r="AQ37">
            <v>3313.2670028674261</v>
          </cell>
          <cell r="AR37">
            <v>3412.6650129534491</v>
          </cell>
          <cell r="AS37">
            <v>3515.0449633420526</v>
          </cell>
          <cell r="AT37">
            <v>3620.4963122423142</v>
          </cell>
          <cell r="AU37">
            <v>3729.1112016095835</v>
          </cell>
          <cell r="AV37">
            <v>3840.984537657871</v>
          </cell>
        </row>
        <row r="38">
          <cell r="H38">
            <v>200.85325714285713</v>
          </cell>
          <cell r="I38">
            <v>401.70651428571426</v>
          </cell>
          <cell r="J38">
            <v>602.55977142857137</v>
          </cell>
          <cell r="K38">
            <v>803.41302857142853</v>
          </cell>
          <cell r="L38">
            <v>1004.2662857142857</v>
          </cell>
          <cell r="M38">
            <v>1205.1195428571427</v>
          </cell>
          <cell r="N38">
            <v>1405.9728</v>
          </cell>
          <cell r="O38">
            <v>1448.1519840000001</v>
          </cell>
          <cell r="P38">
            <v>1491.5965435200001</v>
          </cell>
          <cell r="Q38">
            <v>1536.3444398256001</v>
          </cell>
          <cell r="R38">
            <v>1582.4347730203681</v>
          </cell>
          <cell r="S38">
            <v>1629.9078162109793</v>
          </cell>
          <cell r="T38">
            <v>1678.8050506973086</v>
          </cell>
          <cell r="U38">
            <v>1729.1692022182278</v>
          </cell>
          <cell r="V38">
            <v>1781.0442782847747</v>
          </cell>
          <cell r="W38">
            <v>1834.475606633318</v>
          </cell>
          <cell r="X38">
            <v>1889.5098748323176</v>
          </cell>
          <cell r="Y38">
            <v>1946.1951710772871</v>
          </cell>
          <cell r="Z38">
            <v>2004.5810262096059</v>
          </cell>
          <cell r="AA38">
            <v>2064.718456995894</v>
          </cell>
          <cell r="AB38">
            <v>2126.6600107057711</v>
          </cell>
          <cell r="AC38">
            <v>2190.4598110269444</v>
          </cell>
          <cell r="AD38">
            <v>2256.1736053577529</v>
          </cell>
          <cell r="AE38">
            <v>2323.8588135184855</v>
          </cell>
          <cell r="AF38">
            <v>2393.5745779240401</v>
          </cell>
          <cell r="AG38">
            <v>2465.3818152617614</v>
          </cell>
          <cell r="AH38">
            <v>2539.3432697196145</v>
          </cell>
          <cell r="AI38">
            <v>2615.5235678112031</v>
          </cell>
          <cell r="AJ38">
            <v>2693.9892748455391</v>
          </cell>
          <cell r="AK38">
            <v>2774.8089530909051</v>
          </cell>
          <cell r="AL38">
            <v>2858.0532216836323</v>
          </cell>
          <cell r="AM38">
            <v>2943.7948183341414</v>
          </cell>
          <cell r="AN38">
            <v>3032.1086628841658</v>
          </cell>
          <cell r="AO38">
            <v>3123.0719227706909</v>
          </cell>
          <cell r="AP38">
            <v>3216.7640804538119</v>
          </cell>
          <cell r="AQ38">
            <v>3313.2670028674261</v>
          </cell>
          <cell r="AR38">
            <v>3412.6650129534491</v>
          </cell>
          <cell r="AS38">
            <v>3515.0449633420526</v>
          </cell>
          <cell r="AT38">
            <v>3620.4963122423142</v>
          </cell>
          <cell r="AU38">
            <v>3729.1112016095835</v>
          </cell>
          <cell r="AV38">
            <v>3840.984537657871</v>
          </cell>
        </row>
        <row r="39">
          <cell r="H39">
            <v>200.85325714285713</v>
          </cell>
          <cell r="I39">
            <v>401.70651428571426</v>
          </cell>
          <cell r="J39">
            <v>602.55977142857137</v>
          </cell>
          <cell r="K39">
            <v>803.41302857142853</v>
          </cell>
          <cell r="L39">
            <v>1004.2662857142857</v>
          </cell>
          <cell r="M39">
            <v>1205.1195428571427</v>
          </cell>
          <cell r="N39">
            <v>1405.9728</v>
          </cell>
          <cell r="O39">
            <v>1448.1519840000001</v>
          </cell>
          <cell r="P39">
            <v>1491.5965435200001</v>
          </cell>
          <cell r="Q39">
            <v>1536.3444398256001</v>
          </cell>
          <cell r="R39">
            <v>1582.4347730203681</v>
          </cell>
          <cell r="S39">
            <v>1629.9078162109793</v>
          </cell>
          <cell r="T39">
            <v>1678.8050506973086</v>
          </cell>
          <cell r="U39">
            <v>1729.1692022182278</v>
          </cell>
          <cell r="V39">
            <v>1781.0442782847747</v>
          </cell>
          <cell r="W39">
            <v>1834.475606633318</v>
          </cell>
          <cell r="X39">
            <v>1889.5098748323176</v>
          </cell>
          <cell r="Y39">
            <v>1946.1951710772871</v>
          </cell>
          <cell r="Z39">
            <v>2004.5810262096059</v>
          </cell>
          <cell r="AA39">
            <v>2064.718456995894</v>
          </cell>
          <cell r="AB39">
            <v>2126.6600107057711</v>
          </cell>
          <cell r="AC39">
            <v>2190.4598110269444</v>
          </cell>
          <cell r="AD39">
            <v>2256.1736053577529</v>
          </cell>
          <cell r="AE39">
            <v>2323.8588135184855</v>
          </cell>
          <cell r="AF39">
            <v>2393.5745779240401</v>
          </cell>
          <cell r="AG39">
            <v>2465.3818152617614</v>
          </cell>
          <cell r="AH39">
            <v>2539.3432697196145</v>
          </cell>
          <cell r="AI39">
            <v>2615.5235678112031</v>
          </cell>
          <cell r="AJ39">
            <v>2693.9892748455391</v>
          </cell>
          <cell r="AK39">
            <v>2774.8089530909051</v>
          </cell>
          <cell r="AL39">
            <v>2858.0532216836323</v>
          </cell>
          <cell r="AM39">
            <v>2943.7948183341414</v>
          </cell>
          <cell r="AN39">
            <v>3032.1086628841658</v>
          </cell>
          <cell r="AO39">
            <v>3123.0719227706909</v>
          </cell>
          <cell r="AP39">
            <v>3216.7640804538119</v>
          </cell>
          <cell r="AQ39">
            <v>3313.2670028674261</v>
          </cell>
          <cell r="AR39">
            <v>3412.6650129534491</v>
          </cell>
          <cell r="AS39">
            <v>3515.0449633420526</v>
          </cell>
          <cell r="AT39">
            <v>3620.4963122423142</v>
          </cell>
          <cell r="AU39">
            <v>3729.1112016095835</v>
          </cell>
          <cell r="AV39">
            <v>3840.984537657871</v>
          </cell>
        </row>
      </sheetData>
      <sheetData sheetId="25"/>
      <sheetData sheetId="26"/>
      <sheetData sheetId="27"/>
      <sheetData sheetId="28">
        <row r="10">
          <cell r="C10">
            <v>0</v>
          </cell>
          <cell r="D10">
            <v>18.614868770956182</v>
          </cell>
          <cell r="E10">
            <v>19.165441642028529</v>
          </cell>
          <cell r="F10">
            <v>19.803665714175601</v>
          </cell>
          <cell r="G10">
            <v>21.263179338101295</v>
          </cell>
        </row>
        <row r="11">
          <cell r="C11">
            <v>0</v>
          </cell>
          <cell r="D11">
            <v>55.376678626320519</v>
          </cell>
          <cell r="E11">
            <v>57.024367641075209</v>
          </cell>
          <cell r="F11">
            <v>58.923150133947942</v>
          </cell>
          <cell r="G11">
            <v>63.265527074354694</v>
          </cell>
        </row>
        <row r="12">
          <cell r="C12">
            <v>0</v>
          </cell>
          <cell r="D12">
            <v>61.133589245308123</v>
          </cell>
          <cell r="E12">
            <v>62.957040101918565</v>
          </cell>
          <cell r="F12">
            <v>65.053528731532012</v>
          </cell>
          <cell r="G12">
            <v>69.847764917951721</v>
          </cell>
        </row>
        <row r="13">
          <cell r="C13">
            <v>0</v>
          </cell>
          <cell r="D13">
            <v>45.320193596517967</v>
          </cell>
          <cell r="E13">
            <v>46.715594470306343</v>
          </cell>
          <cell r="F13">
            <v>48.271163096564337</v>
          </cell>
          <cell r="G13">
            <v>51.828828628692598</v>
          </cell>
        </row>
        <row r="14">
          <cell r="C14">
            <v>0</v>
          </cell>
          <cell r="D14">
            <v>57.244876037359127</v>
          </cell>
          <cell r="E14">
            <v>58.937398653443992</v>
          </cell>
          <cell r="F14">
            <v>60.899972655828613</v>
          </cell>
          <cell r="G14">
            <v>65.388166517548768</v>
          </cell>
        </row>
        <row r="15">
          <cell r="C15">
            <v>0</v>
          </cell>
          <cell r="D15">
            <v>6.0141544617017697</v>
          </cell>
          <cell r="E15">
            <v>6.1931658477680891</v>
          </cell>
          <cell r="F15">
            <v>6.3994058078202851</v>
          </cell>
          <cell r="G15">
            <v>6.8710222963392171</v>
          </cell>
        </row>
        <row r="16">
          <cell r="C16">
            <v>0</v>
          </cell>
          <cell r="D16">
            <v>46.773052766926988</v>
          </cell>
          <cell r="E16">
            <v>48.161852462274162</v>
          </cell>
          <cell r="F16">
            <v>49.591888820180174</v>
          </cell>
          <cell r="G16">
            <v>51.064386252160013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4427-1230-4751-AC3D-CF6623D9E1C3}">
  <dimension ref="A1:AW10"/>
  <sheetViews>
    <sheetView workbookViewId="0">
      <selection activeCell="A26" sqref="A26:A27"/>
    </sheetView>
  </sheetViews>
  <sheetFormatPr baseColWidth="10" defaultRowHeight="15" x14ac:dyDescent="0.2"/>
  <cols>
    <col min="1" max="1" width="44.5" bestFit="1" customWidth="1"/>
  </cols>
  <sheetData>
    <row r="1" spans="1:49" x14ac:dyDescent="0.2">
      <c r="A1" s="1" t="s">
        <v>69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  <c r="AS1">
        <v>2061</v>
      </c>
      <c r="AT1">
        <v>2062</v>
      </c>
      <c r="AU1">
        <v>2063</v>
      </c>
      <c r="AV1">
        <v>2064</v>
      </c>
      <c r="AW1">
        <v>2065</v>
      </c>
    </row>
    <row r="2" spans="1:49" x14ac:dyDescent="0.2">
      <c r="A2" t="s">
        <v>0</v>
      </c>
      <c r="B2">
        <v>0</v>
      </c>
      <c r="C2">
        <f>[1]baseline!C10</f>
        <v>0</v>
      </c>
      <c r="D2">
        <f>[1]baseline!D10</f>
        <v>18.614868770956182</v>
      </c>
      <c r="E2">
        <f>[1]baseline!E10</f>
        <v>19.165441642028529</v>
      </c>
      <c r="F2">
        <f>[1]baseline!F10</f>
        <v>19.803665714175601</v>
      </c>
      <c r="G2">
        <f>[1]baseline!G10</f>
        <v>21.263179338101295</v>
      </c>
      <c r="H2" s="2">
        <f>+'[1]M_carbon tax '!G31</f>
        <v>22.919577820722459</v>
      </c>
      <c r="I2" s="2">
        <f>+'[1]M_carbon tax '!H31</f>
        <v>220.49860956061926</v>
      </c>
      <c r="J2" s="2">
        <f>+'[1]M_carbon tax '!I31</f>
        <v>418.07764130051606</v>
      </c>
      <c r="K2" s="2">
        <f>+'[1]M_carbon tax '!J31</f>
        <v>615.6566730404129</v>
      </c>
      <c r="L2" s="2">
        <f>+'[1]M_carbon tax '!K31</f>
        <v>813.23570478030967</v>
      </c>
      <c r="M2" s="2">
        <f>+'[1]M_carbon tax '!L31</f>
        <v>1010.8147365202065</v>
      </c>
      <c r="N2" s="2">
        <f>+'[1]M_carbon tax '!M31</f>
        <v>1208.3937682601033</v>
      </c>
      <c r="O2" s="2">
        <f>+'[1]M_carbon tax '!N31</f>
        <v>1405.9728</v>
      </c>
      <c r="P2" s="2">
        <f>+'[1]M_carbon tax '!O31</f>
        <v>1448.1519840000001</v>
      </c>
      <c r="Q2" s="2">
        <f>+'[1]M_carbon tax '!P31</f>
        <v>1491.5965435200001</v>
      </c>
      <c r="R2" s="2">
        <f>+'[1]M_carbon tax '!Q31</f>
        <v>1536.3444398256001</v>
      </c>
      <c r="S2" s="2">
        <f>+'[1]M_carbon tax '!R31</f>
        <v>1582.4347730203681</v>
      </c>
      <c r="T2" s="2">
        <f>+'[1]M_carbon tax '!S31</f>
        <v>1629.9078162109793</v>
      </c>
      <c r="U2" s="2">
        <f>+'[1]M_carbon tax '!T31</f>
        <v>1678.8050506973086</v>
      </c>
      <c r="V2" s="2">
        <f>+'[1]M_carbon tax '!U31</f>
        <v>1729.1692022182278</v>
      </c>
      <c r="W2" s="2">
        <f>+'[1]M_carbon tax '!V31</f>
        <v>1781.0442782847747</v>
      </c>
      <c r="X2" s="2">
        <f>+'[1]M_carbon tax '!W31</f>
        <v>1834.475606633318</v>
      </c>
      <c r="Y2" s="2">
        <f>+'[1]M_carbon tax '!X31</f>
        <v>1889.5098748323176</v>
      </c>
      <c r="Z2" s="2">
        <f>+'[1]M_carbon tax '!Y31</f>
        <v>1946.1951710772871</v>
      </c>
      <c r="AA2" s="2">
        <f>+'[1]M_carbon tax '!Z31</f>
        <v>2004.5810262096059</v>
      </c>
      <c r="AB2" s="2">
        <f>+'[1]M_carbon tax '!AA31</f>
        <v>2064.718456995894</v>
      </c>
      <c r="AC2" s="2">
        <f>+'[1]M_carbon tax '!AB31</f>
        <v>2126.6600107057711</v>
      </c>
      <c r="AD2" s="2">
        <f>+'[1]M_carbon tax '!AC31</f>
        <v>2190.4598110269444</v>
      </c>
      <c r="AE2" s="2">
        <f>+'[1]M_carbon tax '!AD31</f>
        <v>2256.1736053577529</v>
      </c>
      <c r="AF2" s="2">
        <f>+'[1]M_carbon tax '!AE31</f>
        <v>2323.8588135184855</v>
      </c>
      <c r="AG2" s="2">
        <f>+'[1]M_carbon tax '!AF31</f>
        <v>2393.5745779240401</v>
      </c>
      <c r="AH2" s="2">
        <f>+'[1]M_carbon tax '!AG31</f>
        <v>2465.3818152617614</v>
      </c>
      <c r="AI2" s="2">
        <f>+'[1]M_carbon tax '!AH31</f>
        <v>2539.3432697196145</v>
      </c>
      <c r="AJ2" s="2">
        <f>+'[1]M_carbon tax '!AI31</f>
        <v>2615.5235678112031</v>
      </c>
      <c r="AK2" s="2">
        <f>+'[1]M_carbon tax '!AJ31</f>
        <v>2693.9892748455391</v>
      </c>
      <c r="AL2" s="2">
        <f>+'[1]M_carbon tax '!AK31</f>
        <v>2774.8089530909051</v>
      </c>
      <c r="AM2" s="2">
        <f>+'[1]M_carbon tax '!AL31</f>
        <v>2858.0532216836323</v>
      </c>
      <c r="AN2" s="2">
        <f>+'[1]M_carbon tax '!AM31</f>
        <v>2943.7948183341414</v>
      </c>
      <c r="AO2" s="2">
        <f>+'[1]M_carbon tax '!AN31</f>
        <v>3032.1086628841658</v>
      </c>
      <c r="AP2" s="2">
        <f>+'[1]M_carbon tax '!AO31</f>
        <v>3123.0719227706909</v>
      </c>
      <c r="AQ2" s="2">
        <f>+'[1]M_carbon tax '!AP31</f>
        <v>3216.7640804538119</v>
      </c>
      <c r="AR2" s="2">
        <f>+'[1]M_carbon tax '!AQ31</f>
        <v>3313.2670028674261</v>
      </c>
      <c r="AS2" s="2">
        <f>+'[1]M_carbon tax '!AR31</f>
        <v>3412.6650129534491</v>
      </c>
      <c r="AT2" s="2">
        <f>+'[1]M_carbon tax '!AS31</f>
        <v>3515.0449633420526</v>
      </c>
      <c r="AU2" s="2">
        <f>+'[1]M_carbon tax '!AT31</f>
        <v>3620.4963122423142</v>
      </c>
      <c r="AV2" s="2">
        <f>+'[1]M_carbon tax '!AU31</f>
        <v>3729.1112016095835</v>
      </c>
      <c r="AW2" s="2">
        <f>+'[1]M_carbon tax '!AV31</f>
        <v>3840.984537657871</v>
      </c>
    </row>
    <row r="3" spans="1:49" x14ac:dyDescent="0.2">
      <c r="A3" t="s">
        <v>1</v>
      </c>
      <c r="B3">
        <v>0</v>
      </c>
      <c r="C3">
        <f>[1]baseline!C11</f>
        <v>0</v>
      </c>
      <c r="D3">
        <f>[1]baseline!D11</f>
        <v>55.376678626320519</v>
      </c>
      <c r="E3">
        <f>[1]baseline!E11</f>
        <v>57.024367641075209</v>
      </c>
      <c r="F3">
        <f>[1]baseline!F11</f>
        <v>58.923150133947942</v>
      </c>
      <c r="G3">
        <f>[1]baseline!G11</f>
        <v>63.265527074354694</v>
      </c>
      <c r="H3" s="2">
        <f>++'[1]M_carbon tax '!G32</f>
        <v>68.193908194791589</v>
      </c>
      <c r="I3" s="2">
        <f>+'[1]M_carbon tax '!H32</f>
        <v>259.30517845267849</v>
      </c>
      <c r="J3" s="2">
        <f>+'[1]M_carbon tax '!I32</f>
        <v>450.41644871056542</v>
      </c>
      <c r="K3" s="2">
        <f>+'[1]M_carbon tax '!J32</f>
        <v>641.52771896845229</v>
      </c>
      <c r="L3" s="2">
        <f>+'[1]M_carbon tax '!K32</f>
        <v>832.63898922633916</v>
      </c>
      <c r="M3" s="2">
        <f>+'[1]M_carbon tax '!L32</f>
        <v>1023.750259484226</v>
      </c>
      <c r="N3" s="2">
        <f>+'[1]M_carbon tax '!M32</f>
        <v>1214.8615297421129</v>
      </c>
      <c r="O3" s="2">
        <f>+'[1]M_carbon tax '!N32</f>
        <v>1405.9728</v>
      </c>
      <c r="P3" s="2">
        <f>+'[1]M_carbon tax '!O32</f>
        <v>1448.1519840000001</v>
      </c>
      <c r="Q3" s="2">
        <f>+'[1]M_carbon tax '!P32</f>
        <v>1491.5965435200001</v>
      </c>
      <c r="R3" s="2">
        <f>+'[1]M_carbon tax '!Q32</f>
        <v>1536.3444398256001</v>
      </c>
      <c r="S3" s="2">
        <f>+'[1]M_carbon tax '!R32</f>
        <v>1582.4347730203681</v>
      </c>
      <c r="T3" s="2">
        <f>+'[1]M_carbon tax '!S32</f>
        <v>1629.9078162109793</v>
      </c>
      <c r="U3" s="2">
        <f>+'[1]M_carbon tax '!T32</f>
        <v>1678.8050506973086</v>
      </c>
      <c r="V3" s="2">
        <f>+'[1]M_carbon tax '!U32</f>
        <v>1729.1692022182278</v>
      </c>
      <c r="W3" s="2">
        <f>+'[1]M_carbon tax '!V32</f>
        <v>1781.0442782847747</v>
      </c>
      <c r="X3" s="2">
        <f>+'[1]M_carbon tax '!W32</f>
        <v>1834.475606633318</v>
      </c>
      <c r="Y3" s="2">
        <f>+'[1]M_carbon tax '!X32</f>
        <v>1889.5098748323176</v>
      </c>
      <c r="Z3" s="2">
        <f>+'[1]M_carbon tax '!Y32</f>
        <v>1946.1951710772871</v>
      </c>
      <c r="AA3" s="2">
        <f>+'[1]M_carbon tax '!Z32</f>
        <v>2004.5810262096059</v>
      </c>
      <c r="AB3" s="2">
        <f>+'[1]M_carbon tax '!AA32</f>
        <v>2064.718456995894</v>
      </c>
      <c r="AC3" s="2">
        <f>+'[1]M_carbon tax '!AB32</f>
        <v>2126.6600107057711</v>
      </c>
      <c r="AD3" s="2">
        <f>+'[1]M_carbon tax '!AC32</f>
        <v>2190.4598110269444</v>
      </c>
      <c r="AE3" s="2">
        <f>+'[1]M_carbon tax '!AD32</f>
        <v>2256.1736053577529</v>
      </c>
      <c r="AF3" s="2">
        <f>+'[1]M_carbon tax '!AE32</f>
        <v>2323.8588135184855</v>
      </c>
      <c r="AG3" s="2">
        <f>+'[1]M_carbon tax '!AF32</f>
        <v>2393.5745779240401</v>
      </c>
      <c r="AH3" s="2">
        <f>+'[1]M_carbon tax '!AG32</f>
        <v>2465.3818152617614</v>
      </c>
      <c r="AI3" s="2">
        <f>+'[1]M_carbon tax '!AH32</f>
        <v>2539.3432697196145</v>
      </c>
      <c r="AJ3" s="2">
        <f>+'[1]M_carbon tax '!AI32</f>
        <v>2615.5235678112031</v>
      </c>
      <c r="AK3" s="2">
        <f>+'[1]M_carbon tax '!AJ32</f>
        <v>2693.9892748455391</v>
      </c>
      <c r="AL3" s="2">
        <f>+'[1]M_carbon tax '!AK32</f>
        <v>2774.8089530909051</v>
      </c>
      <c r="AM3" s="2">
        <f>+'[1]M_carbon tax '!AL32</f>
        <v>2858.0532216836323</v>
      </c>
      <c r="AN3" s="2">
        <f>+'[1]M_carbon tax '!AM32</f>
        <v>2943.7948183341414</v>
      </c>
      <c r="AO3" s="2">
        <f>+'[1]M_carbon tax '!AN32</f>
        <v>3032.1086628841658</v>
      </c>
      <c r="AP3" s="2">
        <f>+'[1]M_carbon tax '!AO32</f>
        <v>3123.0719227706909</v>
      </c>
      <c r="AQ3" s="2">
        <f>+'[1]M_carbon tax '!AP32</f>
        <v>3216.7640804538119</v>
      </c>
      <c r="AR3" s="2">
        <f>+'[1]M_carbon tax '!AQ32</f>
        <v>3313.2670028674261</v>
      </c>
      <c r="AS3" s="2">
        <f>+'[1]M_carbon tax '!AR32</f>
        <v>3412.6650129534491</v>
      </c>
      <c r="AT3" s="2">
        <f>+'[1]M_carbon tax '!AS32</f>
        <v>3515.0449633420526</v>
      </c>
      <c r="AU3" s="2">
        <f>+'[1]M_carbon tax '!AT32</f>
        <v>3620.4963122423142</v>
      </c>
      <c r="AV3" s="2">
        <f>+'[1]M_carbon tax '!AU32</f>
        <v>3729.1112016095835</v>
      </c>
      <c r="AW3" s="2">
        <f>+'[1]M_carbon tax '!AV32</f>
        <v>3840.984537657871</v>
      </c>
    </row>
    <row r="4" spans="1:49" x14ac:dyDescent="0.2">
      <c r="A4" t="s">
        <v>2</v>
      </c>
      <c r="B4">
        <v>0</v>
      </c>
      <c r="C4">
        <f>[1]baseline!C12</f>
        <v>0</v>
      </c>
      <c r="D4">
        <f>[1]baseline!D12</f>
        <v>61.133589245308123</v>
      </c>
      <c r="E4">
        <f>[1]baseline!E12</f>
        <v>62.957040101918565</v>
      </c>
      <c r="F4">
        <f>[1]baseline!F12</f>
        <v>65.053528731532012</v>
      </c>
      <c r="G4">
        <f>[1]baseline!G12</f>
        <v>69.847764917951721</v>
      </c>
      <c r="H4" s="2">
        <f>+'[1]M_carbon tax '!G33</f>
        <v>75.288846302979579</v>
      </c>
      <c r="I4" s="2">
        <f>+'[1]M_carbon tax '!H33</f>
        <v>265.38655397398247</v>
      </c>
      <c r="J4" s="2">
        <f>+'[1]M_carbon tax '!I33</f>
        <v>455.48426164498539</v>
      </c>
      <c r="K4" s="2">
        <f>+'[1]M_carbon tax '!J33</f>
        <v>645.58196931598832</v>
      </c>
      <c r="L4" s="2">
        <f>+'[1]M_carbon tax '!K33</f>
        <v>835.67967698699124</v>
      </c>
      <c r="M4" s="2">
        <f>+'[1]M_carbon tax '!L33</f>
        <v>1025.7773846579942</v>
      </c>
      <c r="N4" s="2">
        <f>+'[1]M_carbon tax '!M33</f>
        <v>1215.875092328997</v>
      </c>
      <c r="O4" s="2">
        <f>+'[1]M_carbon tax '!N33</f>
        <v>1405.9728</v>
      </c>
      <c r="P4" s="2">
        <f>+'[1]M_carbon tax '!O33</f>
        <v>1448.1519840000001</v>
      </c>
      <c r="Q4" s="2">
        <f>+'[1]M_carbon tax '!P33</f>
        <v>1491.5965435200001</v>
      </c>
      <c r="R4" s="2">
        <f>+'[1]M_carbon tax '!Q33</f>
        <v>1536.3444398256001</v>
      </c>
      <c r="S4" s="2">
        <f>+'[1]M_carbon tax '!R33</f>
        <v>1582.4347730203681</v>
      </c>
      <c r="T4" s="2">
        <f>+'[1]M_carbon tax '!S33</f>
        <v>1629.9078162109793</v>
      </c>
      <c r="U4" s="2">
        <f>+'[1]M_carbon tax '!T33</f>
        <v>1678.8050506973086</v>
      </c>
      <c r="V4" s="2">
        <f>+'[1]M_carbon tax '!U33</f>
        <v>1729.1692022182278</v>
      </c>
      <c r="W4" s="2">
        <f>+'[1]M_carbon tax '!V33</f>
        <v>1781.0442782847747</v>
      </c>
      <c r="X4" s="2">
        <f>+'[1]M_carbon tax '!W33</f>
        <v>1834.475606633318</v>
      </c>
      <c r="Y4" s="2">
        <f>+'[1]M_carbon tax '!X33</f>
        <v>1889.5098748323176</v>
      </c>
      <c r="Z4" s="2">
        <f>+'[1]M_carbon tax '!Y33</f>
        <v>1946.1951710772871</v>
      </c>
      <c r="AA4" s="2">
        <f>+'[1]M_carbon tax '!Z33</f>
        <v>2004.5810262096059</v>
      </c>
      <c r="AB4" s="2">
        <f>+'[1]M_carbon tax '!AA33</f>
        <v>2064.718456995894</v>
      </c>
      <c r="AC4" s="2">
        <f>+'[1]M_carbon tax '!AB33</f>
        <v>2126.6600107057711</v>
      </c>
      <c r="AD4" s="2">
        <f>+'[1]M_carbon tax '!AC33</f>
        <v>2190.4598110269444</v>
      </c>
      <c r="AE4" s="2">
        <f>+'[1]M_carbon tax '!AD33</f>
        <v>2256.1736053577529</v>
      </c>
      <c r="AF4" s="2">
        <f>+'[1]M_carbon tax '!AE33</f>
        <v>2323.8588135184855</v>
      </c>
      <c r="AG4" s="2">
        <f>+'[1]M_carbon tax '!AF33</f>
        <v>2393.5745779240401</v>
      </c>
      <c r="AH4" s="2">
        <f>+'[1]M_carbon tax '!AG33</f>
        <v>2465.3818152617614</v>
      </c>
      <c r="AI4" s="2">
        <f>+'[1]M_carbon tax '!AH33</f>
        <v>2539.3432697196145</v>
      </c>
      <c r="AJ4" s="2">
        <f>+'[1]M_carbon tax '!AI33</f>
        <v>2615.5235678112031</v>
      </c>
      <c r="AK4" s="2">
        <f>+'[1]M_carbon tax '!AJ33</f>
        <v>2693.9892748455391</v>
      </c>
      <c r="AL4" s="2">
        <f>+'[1]M_carbon tax '!AK33</f>
        <v>2774.8089530909051</v>
      </c>
      <c r="AM4" s="2">
        <f>+'[1]M_carbon tax '!AL33</f>
        <v>2858.0532216836323</v>
      </c>
      <c r="AN4" s="2">
        <f>+'[1]M_carbon tax '!AM33</f>
        <v>2943.7948183341414</v>
      </c>
      <c r="AO4" s="2">
        <f>+'[1]M_carbon tax '!AN33</f>
        <v>3032.1086628841658</v>
      </c>
      <c r="AP4" s="2">
        <f>+'[1]M_carbon tax '!AO33</f>
        <v>3123.0719227706909</v>
      </c>
      <c r="AQ4" s="2">
        <f>+'[1]M_carbon tax '!AP33</f>
        <v>3216.7640804538119</v>
      </c>
      <c r="AR4" s="2">
        <f>+'[1]M_carbon tax '!AQ33</f>
        <v>3313.2670028674261</v>
      </c>
      <c r="AS4" s="2">
        <f>+'[1]M_carbon tax '!AR33</f>
        <v>3412.6650129534491</v>
      </c>
      <c r="AT4" s="2">
        <f>+'[1]M_carbon tax '!AS33</f>
        <v>3515.0449633420526</v>
      </c>
      <c r="AU4" s="2">
        <f>+'[1]M_carbon tax '!AT33</f>
        <v>3620.4963122423142</v>
      </c>
      <c r="AV4" s="2">
        <f>+'[1]M_carbon tax '!AU33</f>
        <v>3729.1112016095835</v>
      </c>
      <c r="AW4" s="2">
        <f>+'[1]M_carbon tax '!AV33</f>
        <v>3840.984537657871</v>
      </c>
    </row>
    <row r="5" spans="1:49" x14ac:dyDescent="0.2">
      <c r="A5" t="s">
        <v>3</v>
      </c>
      <c r="B5">
        <v>0</v>
      </c>
      <c r="C5">
        <f>[1]baseline!C13</f>
        <v>0</v>
      </c>
      <c r="D5">
        <f>[1]baseline!D13</f>
        <v>45.320193596517967</v>
      </c>
      <c r="E5">
        <f>[1]baseline!E13</f>
        <v>46.715594470306343</v>
      </c>
      <c r="F5">
        <f>[1]baseline!F13</f>
        <v>48.271163096564337</v>
      </c>
      <c r="G5">
        <f>[1]baseline!G13</f>
        <v>51.828828628692598</v>
      </c>
      <c r="H5" s="2">
        <f>+'[1]M_carbon tax '!G34</f>
        <v>55.865662686959148</v>
      </c>
      <c r="I5" s="2">
        <f>+'[1]M_carbon tax '!H34</f>
        <v>248.7381108745364</v>
      </c>
      <c r="J5" s="2">
        <f>+'[1]M_carbon tax '!I34</f>
        <v>441.61055906211368</v>
      </c>
      <c r="K5" s="2">
        <f>+'[1]M_carbon tax '!J34</f>
        <v>634.4830072496909</v>
      </c>
      <c r="L5" s="2">
        <f>+'[1]M_carbon tax '!K34</f>
        <v>827.35545543726812</v>
      </c>
      <c r="M5" s="2">
        <f>+'[1]M_carbon tax '!L34</f>
        <v>1020.2279036248453</v>
      </c>
      <c r="N5" s="2">
        <f>+'[1]M_carbon tax '!M34</f>
        <v>1213.1003518124226</v>
      </c>
      <c r="O5" s="2">
        <f>+'[1]M_carbon tax '!N34</f>
        <v>1405.9728</v>
      </c>
      <c r="P5" s="2">
        <f>+'[1]M_carbon tax '!O34</f>
        <v>1448.1519840000001</v>
      </c>
      <c r="Q5" s="2">
        <f>+'[1]M_carbon tax '!P34</f>
        <v>1491.5965435200001</v>
      </c>
      <c r="R5" s="2">
        <f>+'[1]M_carbon tax '!Q34</f>
        <v>1536.3444398256001</v>
      </c>
      <c r="S5" s="2">
        <f>+'[1]M_carbon tax '!R34</f>
        <v>1582.4347730203681</v>
      </c>
      <c r="T5" s="2">
        <f>+'[1]M_carbon tax '!S34</f>
        <v>1629.9078162109793</v>
      </c>
      <c r="U5" s="2">
        <f>+'[1]M_carbon tax '!T34</f>
        <v>1678.8050506973086</v>
      </c>
      <c r="V5" s="2">
        <f>+'[1]M_carbon tax '!U34</f>
        <v>1729.1692022182278</v>
      </c>
      <c r="W5" s="2">
        <f>+'[1]M_carbon tax '!V34</f>
        <v>1781.0442782847747</v>
      </c>
      <c r="X5" s="2">
        <f>+'[1]M_carbon tax '!W34</f>
        <v>1834.475606633318</v>
      </c>
      <c r="Y5" s="2">
        <f>+'[1]M_carbon tax '!X34</f>
        <v>1889.5098748323176</v>
      </c>
      <c r="Z5" s="2">
        <f>+'[1]M_carbon tax '!Y34</f>
        <v>1946.1951710772871</v>
      </c>
      <c r="AA5" s="2">
        <f>+'[1]M_carbon tax '!Z34</f>
        <v>2004.5810262096059</v>
      </c>
      <c r="AB5" s="2">
        <f>+'[1]M_carbon tax '!AA34</f>
        <v>2064.718456995894</v>
      </c>
      <c r="AC5" s="2">
        <f>+'[1]M_carbon tax '!AB34</f>
        <v>2126.6600107057711</v>
      </c>
      <c r="AD5" s="2">
        <f>+'[1]M_carbon tax '!AC34</f>
        <v>2190.4598110269444</v>
      </c>
      <c r="AE5" s="2">
        <f>+'[1]M_carbon tax '!AD34</f>
        <v>2256.1736053577529</v>
      </c>
      <c r="AF5" s="2">
        <f>+'[1]M_carbon tax '!AE34</f>
        <v>2323.8588135184855</v>
      </c>
      <c r="AG5" s="2">
        <f>+'[1]M_carbon tax '!AF34</f>
        <v>2393.5745779240401</v>
      </c>
      <c r="AH5" s="2">
        <f>+'[1]M_carbon tax '!AG34</f>
        <v>2465.3818152617614</v>
      </c>
      <c r="AI5" s="2">
        <f>+'[1]M_carbon tax '!AH34</f>
        <v>2539.3432697196145</v>
      </c>
      <c r="AJ5" s="2">
        <f>+'[1]M_carbon tax '!AI34</f>
        <v>2615.5235678112031</v>
      </c>
      <c r="AK5" s="2">
        <f>+'[1]M_carbon tax '!AJ34</f>
        <v>2693.9892748455391</v>
      </c>
      <c r="AL5" s="2">
        <f>+'[1]M_carbon tax '!AK34</f>
        <v>2774.8089530909051</v>
      </c>
      <c r="AM5" s="2">
        <f>+'[1]M_carbon tax '!AL34</f>
        <v>2858.0532216836323</v>
      </c>
      <c r="AN5" s="2">
        <f>+'[1]M_carbon tax '!AM34</f>
        <v>2943.7948183341414</v>
      </c>
      <c r="AO5" s="2">
        <f>+'[1]M_carbon tax '!AN34</f>
        <v>3032.1086628841658</v>
      </c>
      <c r="AP5" s="2">
        <f>+'[1]M_carbon tax '!AO34</f>
        <v>3123.0719227706909</v>
      </c>
      <c r="AQ5" s="2">
        <f>+'[1]M_carbon tax '!AP34</f>
        <v>3216.7640804538119</v>
      </c>
      <c r="AR5" s="2">
        <f>+'[1]M_carbon tax '!AQ34</f>
        <v>3313.2670028674261</v>
      </c>
      <c r="AS5" s="2">
        <f>+'[1]M_carbon tax '!AR34</f>
        <v>3412.6650129534491</v>
      </c>
      <c r="AT5" s="2">
        <f>+'[1]M_carbon tax '!AS34</f>
        <v>3515.0449633420526</v>
      </c>
      <c r="AU5" s="2">
        <f>+'[1]M_carbon tax '!AT34</f>
        <v>3620.4963122423142</v>
      </c>
      <c r="AV5" s="2">
        <f>+'[1]M_carbon tax '!AU34</f>
        <v>3729.1112016095835</v>
      </c>
      <c r="AW5" s="2">
        <f>+'[1]M_carbon tax '!AV34</f>
        <v>3840.984537657871</v>
      </c>
    </row>
    <row r="6" spans="1:49" x14ac:dyDescent="0.2">
      <c r="A6" t="s">
        <v>4</v>
      </c>
      <c r="B6">
        <v>0</v>
      </c>
      <c r="C6">
        <f>[1]baseline!C14</f>
        <v>0</v>
      </c>
      <c r="D6">
        <f>[1]baseline!D14</f>
        <v>57.244876037359127</v>
      </c>
      <c r="E6">
        <f>[1]baseline!E14</f>
        <v>58.937398653443992</v>
      </c>
      <c r="F6">
        <f>[1]baseline!F14</f>
        <v>60.899972655828613</v>
      </c>
      <c r="G6">
        <f>[1]baseline!G14</f>
        <v>65.388166517548768</v>
      </c>
      <c r="H6" s="2">
        <f>+'[1]M_carbon tax '!G35</f>
        <v>70.481531243553476</v>
      </c>
      <c r="I6" s="2">
        <f>+'[1]M_carbon tax '!H35</f>
        <v>261.2659982087601</v>
      </c>
      <c r="J6" s="2">
        <f>+'[1]M_carbon tax '!I35</f>
        <v>452.0504651739667</v>
      </c>
      <c r="K6" s="2">
        <f>+'[1]M_carbon tax '!J35</f>
        <v>642.83493213917336</v>
      </c>
      <c r="L6" s="2">
        <f>+'[1]M_carbon tax '!K35</f>
        <v>833.61939910438002</v>
      </c>
      <c r="M6" s="2">
        <f>+'[1]M_carbon tax '!L35</f>
        <v>1024.4038660695867</v>
      </c>
      <c r="N6" s="2">
        <f>+'[1]M_carbon tax '!M35</f>
        <v>1215.1883330347932</v>
      </c>
      <c r="O6" s="2">
        <f>+'[1]M_carbon tax '!N35</f>
        <v>1405.9728</v>
      </c>
      <c r="P6" s="2">
        <f>+'[1]M_carbon tax '!O35</f>
        <v>1448.1519840000001</v>
      </c>
      <c r="Q6" s="2">
        <f>+'[1]M_carbon tax '!P35</f>
        <v>1491.5965435200001</v>
      </c>
      <c r="R6" s="2">
        <f>+'[1]M_carbon tax '!Q35</f>
        <v>1536.3444398256001</v>
      </c>
      <c r="S6" s="2">
        <f>+'[1]M_carbon tax '!R35</f>
        <v>1582.4347730203681</v>
      </c>
      <c r="T6" s="2">
        <f>+'[1]M_carbon tax '!S35</f>
        <v>1629.9078162109793</v>
      </c>
      <c r="U6" s="2">
        <f>+'[1]M_carbon tax '!T35</f>
        <v>1678.8050506973086</v>
      </c>
      <c r="V6" s="2">
        <f>+'[1]M_carbon tax '!U35</f>
        <v>1729.1692022182278</v>
      </c>
      <c r="W6" s="2">
        <f>+'[1]M_carbon tax '!V35</f>
        <v>1781.0442782847747</v>
      </c>
      <c r="X6" s="2">
        <f>+'[1]M_carbon tax '!W35</f>
        <v>1834.475606633318</v>
      </c>
      <c r="Y6" s="2">
        <f>+'[1]M_carbon tax '!X35</f>
        <v>1889.5098748323176</v>
      </c>
      <c r="Z6" s="2">
        <f>+'[1]M_carbon tax '!Y35</f>
        <v>1946.1951710772871</v>
      </c>
      <c r="AA6" s="2">
        <f>+'[1]M_carbon tax '!Z35</f>
        <v>2004.5810262096059</v>
      </c>
      <c r="AB6" s="2">
        <f>+'[1]M_carbon tax '!AA35</f>
        <v>2064.718456995894</v>
      </c>
      <c r="AC6" s="2">
        <f>+'[1]M_carbon tax '!AB35</f>
        <v>2126.6600107057711</v>
      </c>
      <c r="AD6" s="2">
        <f>+'[1]M_carbon tax '!AC35</f>
        <v>2190.4598110269444</v>
      </c>
      <c r="AE6" s="2">
        <f>+'[1]M_carbon tax '!AD35</f>
        <v>2256.1736053577529</v>
      </c>
      <c r="AF6" s="2">
        <f>+'[1]M_carbon tax '!AE35</f>
        <v>2323.8588135184855</v>
      </c>
      <c r="AG6" s="2">
        <f>+'[1]M_carbon tax '!AF35</f>
        <v>2393.5745779240401</v>
      </c>
      <c r="AH6" s="2">
        <f>+'[1]M_carbon tax '!AG35</f>
        <v>2465.3818152617614</v>
      </c>
      <c r="AI6" s="2">
        <f>+'[1]M_carbon tax '!AH35</f>
        <v>2539.3432697196145</v>
      </c>
      <c r="AJ6" s="2">
        <f>+'[1]M_carbon tax '!AI35</f>
        <v>2615.5235678112031</v>
      </c>
      <c r="AK6" s="2">
        <f>+'[1]M_carbon tax '!AJ35</f>
        <v>2693.9892748455391</v>
      </c>
      <c r="AL6" s="2">
        <f>+'[1]M_carbon tax '!AK35</f>
        <v>2774.8089530909051</v>
      </c>
      <c r="AM6" s="2">
        <f>+'[1]M_carbon tax '!AL35</f>
        <v>2858.0532216836323</v>
      </c>
      <c r="AN6" s="2">
        <f>+'[1]M_carbon tax '!AM35</f>
        <v>2943.7948183341414</v>
      </c>
      <c r="AO6" s="2">
        <f>+'[1]M_carbon tax '!AN35</f>
        <v>3032.1086628841658</v>
      </c>
      <c r="AP6" s="2">
        <f>+'[1]M_carbon tax '!AO35</f>
        <v>3123.0719227706909</v>
      </c>
      <c r="AQ6" s="2">
        <f>+'[1]M_carbon tax '!AP35</f>
        <v>3216.7640804538119</v>
      </c>
      <c r="AR6" s="2">
        <f>+'[1]M_carbon tax '!AQ35</f>
        <v>3313.2670028674261</v>
      </c>
      <c r="AS6" s="2">
        <f>+'[1]M_carbon tax '!AR35</f>
        <v>3412.6650129534491</v>
      </c>
      <c r="AT6" s="2">
        <f>+'[1]M_carbon tax '!AS35</f>
        <v>3515.0449633420526</v>
      </c>
      <c r="AU6" s="2">
        <f>+'[1]M_carbon tax '!AT35</f>
        <v>3620.4963122423142</v>
      </c>
      <c r="AV6" s="2">
        <f>+'[1]M_carbon tax '!AU35</f>
        <v>3729.1112016095835</v>
      </c>
      <c r="AW6" s="2">
        <f>+'[1]M_carbon tax '!AV35</f>
        <v>3840.984537657871</v>
      </c>
    </row>
    <row r="7" spans="1:49" x14ac:dyDescent="0.2">
      <c r="A7" t="s">
        <v>5</v>
      </c>
      <c r="B7">
        <v>0</v>
      </c>
      <c r="C7">
        <f>[1]baseline!C15</f>
        <v>0</v>
      </c>
      <c r="D7">
        <f>[1]baseline!D15</f>
        <v>6.0141544617017697</v>
      </c>
      <c r="E7">
        <f>[1]baseline!E15</f>
        <v>6.1931658477680891</v>
      </c>
      <c r="F7">
        <f>[1]baseline!F15</f>
        <v>6.3994058078202851</v>
      </c>
      <c r="G7">
        <f>[1]baseline!G15</f>
        <v>6.8710222963392171</v>
      </c>
      <c r="H7" s="2">
        <f>+'[1]M_carbon tax '!G36</f>
        <v>7.4062663406775107</v>
      </c>
      <c r="I7" s="2">
        <f>+'[1]M_carbon tax '!H36</f>
        <v>207.20148543486644</v>
      </c>
      <c r="J7" s="2">
        <f>+'[1]M_carbon tax '!I36</f>
        <v>406.99670452905536</v>
      </c>
      <c r="K7" s="2">
        <f>+'[1]M_carbon tax '!J36</f>
        <v>606.79192362324432</v>
      </c>
      <c r="L7" s="2">
        <f>+'[1]M_carbon tax '!K36</f>
        <v>806.58714271743327</v>
      </c>
      <c r="M7" s="2">
        <f>+'[1]M_carbon tax '!L36</f>
        <v>1006.3823618116222</v>
      </c>
      <c r="N7" s="2">
        <f>+'[1]M_carbon tax '!M36</f>
        <v>1206.1775809058111</v>
      </c>
      <c r="O7" s="2">
        <f>+'[1]M_carbon tax '!N36</f>
        <v>1405.9728</v>
      </c>
      <c r="P7" s="2">
        <f>+'[1]M_carbon tax '!O36</f>
        <v>1448.1519840000001</v>
      </c>
      <c r="Q7" s="2">
        <f>+'[1]M_carbon tax '!P36</f>
        <v>1491.5965435200001</v>
      </c>
      <c r="R7" s="2">
        <f>+'[1]M_carbon tax '!Q36</f>
        <v>1536.3444398256001</v>
      </c>
      <c r="S7" s="2">
        <f>+'[1]M_carbon tax '!R36</f>
        <v>1582.4347730203681</v>
      </c>
      <c r="T7" s="2">
        <f>+'[1]M_carbon tax '!S36</f>
        <v>1629.9078162109793</v>
      </c>
      <c r="U7" s="2">
        <f>+'[1]M_carbon tax '!T36</f>
        <v>1678.8050506973086</v>
      </c>
      <c r="V7" s="2">
        <f>+'[1]M_carbon tax '!U36</f>
        <v>1729.1692022182278</v>
      </c>
      <c r="W7" s="2">
        <f>+'[1]M_carbon tax '!V36</f>
        <v>1781.0442782847747</v>
      </c>
      <c r="X7" s="2">
        <f>+'[1]M_carbon tax '!W36</f>
        <v>1834.475606633318</v>
      </c>
      <c r="Y7" s="2">
        <f>+'[1]M_carbon tax '!X36</f>
        <v>1889.5098748323176</v>
      </c>
      <c r="Z7" s="2">
        <f>+'[1]M_carbon tax '!Y36</f>
        <v>1946.1951710772871</v>
      </c>
      <c r="AA7" s="2">
        <f>+'[1]M_carbon tax '!Z36</f>
        <v>2004.5810262096059</v>
      </c>
      <c r="AB7" s="2">
        <f>+'[1]M_carbon tax '!AA36</f>
        <v>2064.718456995894</v>
      </c>
      <c r="AC7" s="2">
        <f>+'[1]M_carbon tax '!AB36</f>
        <v>2126.6600107057711</v>
      </c>
      <c r="AD7" s="2">
        <f>+'[1]M_carbon tax '!AC36</f>
        <v>2190.4598110269444</v>
      </c>
      <c r="AE7" s="2">
        <f>+'[1]M_carbon tax '!AD36</f>
        <v>2256.1736053577529</v>
      </c>
      <c r="AF7" s="2">
        <f>+'[1]M_carbon tax '!AE36</f>
        <v>2323.8588135184855</v>
      </c>
      <c r="AG7" s="2">
        <f>+'[1]M_carbon tax '!AF36</f>
        <v>2393.5745779240401</v>
      </c>
      <c r="AH7" s="2">
        <f>+'[1]M_carbon tax '!AG36</f>
        <v>2465.3818152617614</v>
      </c>
      <c r="AI7" s="2">
        <f>+'[1]M_carbon tax '!AH36</f>
        <v>2539.3432697196145</v>
      </c>
      <c r="AJ7" s="2">
        <f>+'[1]M_carbon tax '!AI36</f>
        <v>2615.5235678112031</v>
      </c>
      <c r="AK7" s="2">
        <f>+'[1]M_carbon tax '!AJ36</f>
        <v>2693.9892748455391</v>
      </c>
      <c r="AL7" s="2">
        <f>+'[1]M_carbon tax '!AK36</f>
        <v>2774.8089530909051</v>
      </c>
      <c r="AM7" s="2">
        <f>+'[1]M_carbon tax '!AL36</f>
        <v>2858.0532216836323</v>
      </c>
      <c r="AN7" s="2">
        <f>+'[1]M_carbon tax '!AM36</f>
        <v>2943.7948183341414</v>
      </c>
      <c r="AO7" s="2">
        <f>+'[1]M_carbon tax '!AN36</f>
        <v>3032.1086628841658</v>
      </c>
      <c r="AP7" s="2">
        <f>+'[1]M_carbon tax '!AO36</f>
        <v>3123.0719227706909</v>
      </c>
      <c r="AQ7" s="2">
        <f>+'[1]M_carbon tax '!AP36</f>
        <v>3216.7640804538119</v>
      </c>
      <c r="AR7" s="2">
        <f>+'[1]M_carbon tax '!AQ36</f>
        <v>3313.2670028674261</v>
      </c>
      <c r="AS7" s="2">
        <f>+'[1]M_carbon tax '!AR36</f>
        <v>3412.6650129534491</v>
      </c>
      <c r="AT7" s="2">
        <f>+'[1]M_carbon tax '!AS36</f>
        <v>3515.0449633420526</v>
      </c>
      <c r="AU7" s="2">
        <f>+'[1]M_carbon tax '!AT36</f>
        <v>3620.4963122423142</v>
      </c>
      <c r="AV7" s="2">
        <f>+'[1]M_carbon tax '!AU36</f>
        <v>3729.1112016095835</v>
      </c>
      <c r="AW7" s="2">
        <f>+'[1]M_carbon tax '!AV36</f>
        <v>3840.984537657871</v>
      </c>
    </row>
    <row r="8" spans="1:49" x14ac:dyDescent="0.2">
      <c r="A8" t="s">
        <v>6</v>
      </c>
      <c r="B8">
        <v>0</v>
      </c>
      <c r="C8">
        <f>[1]baseline!C16</f>
        <v>0</v>
      </c>
      <c r="D8">
        <f>[1]baseline!D16</f>
        <v>46.773052766926988</v>
      </c>
      <c r="E8">
        <f>[1]baseline!E16</f>
        <v>48.161852462274162</v>
      </c>
      <c r="F8">
        <f>[1]baseline!F16</f>
        <v>49.591888820180174</v>
      </c>
      <c r="G8">
        <f>[1]baseline!G16</f>
        <v>51.064386252160013</v>
      </c>
      <c r="H8" s="2">
        <f>+'[1]M_carbon tax '!G37</f>
        <v>50.025965431613962</v>
      </c>
      <c r="I8" s="2">
        <f>+'[1]M_carbon tax '!H37</f>
        <v>243.73265608424055</v>
      </c>
      <c r="J8" s="2">
        <f>+'[1]M_carbon tax '!I37</f>
        <v>437.43934673686715</v>
      </c>
      <c r="K8" s="2">
        <f>+'[1]M_carbon tax '!J37</f>
        <v>631.1460373894937</v>
      </c>
      <c r="L8" s="2">
        <f>+'[1]M_carbon tax '!K37</f>
        <v>824.85272804212025</v>
      </c>
      <c r="M8" s="2">
        <f>+'[1]M_carbon tax '!L37</f>
        <v>1018.5594186947468</v>
      </c>
      <c r="N8" s="2">
        <f>+'[1]M_carbon tax '!M37</f>
        <v>1212.2661093473735</v>
      </c>
      <c r="O8" s="2">
        <f>+'[1]M_carbon tax '!N37</f>
        <v>1405.9728</v>
      </c>
      <c r="P8" s="2">
        <f>+'[1]M_carbon tax '!O37</f>
        <v>1448.1519840000001</v>
      </c>
      <c r="Q8" s="2">
        <f>+'[1]M_carbon tax '!P37</f>
        <v>1491.5965435200001</v>
      </c>
      <c r="R8" s="2">
        <f>+'[1]M_carbon tax '!Q37</f>
        <v>1536.3444398256001</v>
      </c>
      <c r="S8" s="2">
        <f>+'[1]M_carbon tax '!R37</f>
        <v>1582.4347730203681</v>
      </c>
      <c r="T8" s="2">
        <f>+'[1]M_carbon tax '!S37</f>
        <v>1629.9078162109793</v>
      </c>
      <c r="U8" s="2">
        <f>+'[1]M_carbon tax '!T37</f>
        <v>1678.8050506973086</v>
      </c>
      <c r="V8" s="2">
        <f>+'[1]M_carbon tax '!U37</f>
        <v>1729.1692022182278</v>
      </c>
      <c r="W8" s="2">
        <f>+'[1]M_carbon tax '!V37</f>
        <v>1781.0442782847747</v>
      </c>
      <c r="X8" s="2">
        <f>+'[1]M_carbon tax '!W37</f>
        <v>1834.475606633318</v>
      </c>
      <c r="Y8" s="2">
        <f>+'[1]M_carbon tax '!X37</f>
        <v>1889.5098748323176</v>
      </c>
      <c r="Z8" s="2">
        <f>+'[1]M_carbon tax '!Y37</f>
        <v>1946.1951710772871</v>
      </c>
      <c r="AA8" s="2">
        <f>+'[1]M_carbon tax '!Z37</f>
        <v>2004.5810262096059</v>
      </c>
      <c r="AB8" s="2">
        <f>+'[1]M_carbon tax '!AA37</f>
        <v>2064.718456995894</v>
      </c>
      <c r="AC8" s="2">
        <f>+'[1]M_carbon tax '!AB37</f>
        <v>2126.6600107057711</v>
      </c>
      <c r="AD8" s="2">
        <f>+'[1]M_carbon tax '!AC37</f>
        <v>2190.4598110269444</v>
      </c>
      <c r="AE8" s="2">
        <f>+'[1]M_carbon tax '!AD37</f>
        <v>2256.1736053577529</v>
      </c>
      <c r="AF8" s="2">
        <f>+'[1]M_carbon tax '!AE37</f>
        <v>2323.8588135184855</v>
      </c>
      <c r="AG8" s="2">
        <f>+'[1]M_carbon tax '!AF37</f>
        <v>2393.5745779240401</v>
      </c>
      <c r="AH8" s="2">
        <f>+'[1]M_carbon tax '!AG37</f>
        <v>2465.3818152617614</v>
      </c>
      <c r="AI8" s="2">
        <f>+'[1]M_carbon tax '!AH37</f>
        <v>2539.3432697196145</v>
      </c>
      <c r="AJ8" s="2">
        <f>+'[1]M_carbon tax '!AI37</f>
        <v>2615.5235678112031</v>
      </c>
      <c r="AK8" s="2">
        <f>+'[1]M_carbon tax '!AJ37</f>
        <v>2693.9892748455391</v>
      </c>
      <c r="AL8" s="2">
        <f>+'[1]M_carbon tax '!AK37</f>
        <v>2774.8089530909051</v>
      </c>
      <c r="AM8" s="2">
        <f>+'[1]M_carbon tax '!AL37</f>
        <v>2858.0532216836323</v>
      </c>
      <c r="AN8" s="2">
        <f>+'[1]M_carbon tax '!AM37</f>
        <v>2943.7948183341414</v>
      </c>
      <c r="AO8" s="2">
        <f>+'[1]M_carbon tax '!AN37</f>
        <v>3032.1086628841658</v>
      </c>
      <c r="AP8" s="2">
        <f>+'[1]M_carbon tax '!AO37</f>
        <v>3123.0719227706909</v>
      </c>
      <c r="AQ8" s="2">
        <f>+'[1]M_carbon tax '!AP37</f>
        <v>3216.7640804538119</v>
      </c>
      <c r="AR8" s="2">
        <f>+'[1]M_carbon tax '!AQ37</f>
        <v>3313.2670028674261</v>
      </c>
      <c r="AS8" s="2">
        <f>+'[1]M_carbon tax '!AR37</f>
        <v>3412.6650129534491</v>
      </c>
      <c r="AT8" s="2">
        <f>+'[1]M_carbon tax '!AS37</f>
        <v>3515.0449633420526</v>
      </c>
      <c r="AU8" s="2">
        <f>+'[1]M_carbon tax '!AT37</f>
        <v>3620.4963122423142</v>
      </c>
      <c r="AV8" s="2">
        <f>+'[1]M_carbon tax '!AU37</f>
        <v>3729.1112016095835</v>
      </c>
      <c r="AW8" s="2">
        <f>+'[1]M_carbon tax '!AV37</f>
        <v>3840.984537657871</v>
      </c>
    </row>
    <row r="9" spans="1:49" x14ac:dyDescent="0.2">
      <c r="A9" t="s">
        <v>7</v>
      </c>
      <c r="B9">
        <v>0</v>
      </c>
      <c r="C9">
        <f>[1]baseline!C17</f>
        <v>0</v>
      </c>
      <c r="D9">
        <f>[1]baseline!D17</f>
        <v>0</v>
      </c>
      <c r="E9">
        <f>[1]baseline!E17</f>
        <v>0</v>
      </c>
      <c r="F9">
        <f>[1]baseline!F17</f>
        <v>0</v>
      </c>
      <c r="G9">
        <f>[1]baseline!G17</f>
        <v>0</v>
      </c>
      <c r="H9" s="2">
        <f>+'[1]M_carbon tax '!G38</f>
        <v>0</v>
      </c>
      <c r="I9" s="2">
        <f>+'[1]M_carbon tax '!H38</f>
        <v>200.85325714285713</v>
      </c>
      <c r="J9" s="2">
        <f>+'[1]M_carbon tax '!I38</f>
        <v>401.70651428571426</v>
      </c>
      <c r="K9" s="2">
        <f>+'[1]M_carbon tax '!J38</f>
        <v>602.55977142857137</v>
      </c>
      <c r="L9" s="2">
        <f>+'[1]M_carbon tax '!K38</f>
        <v>803.41302857142853</v>
      </c>
      <c r="M9" s="2">
        <f>+'[1]M_carbon tax '!L38</f>
        <v>1004.2662857142857</v>
      </c>
      <c r="N9" s="2">
        <f>+'[1]M_carbon tax '!M38</f>
        <v>1205.1195428571427</v>
      </c>
      <c r="O9" s="2">
        <f>+'[1]M_carbon tax '!N38</f>
        <v>1405.9728</v>
      </c>
      <c r="P9" s="2">
        <f>+'[1]M_carbon tax '!O38</f>
        <v>1448.1519840000001</v>
      </c>
      <c r="Q9" s="2">
        <f>+'[1]M_carbon tax '!P38</f>
        <v>1491.5965435200001</v>
      </c>
      <c r="R9" s="2">
        <f>+'[1]M_carbon tax '!Q38</f>
        <v>1536.3444398256001</v>
      </c>
      <c r="S9" s="2">
        <f>+'[1]M_carbon tax '!R38</f>
        <v>1582.4347730203681</v>
      </c>
      <c r="T9" s="2">
        <f>+'[1]M_carbon tax '!S38</f>
        <v>1629.9078162109793</v>
      </c>
      <c r="U9" s="2">
        <f>+'[1]M_carbon tax '!T38</f>
        <v>1678.8050506973086</v>
      </c>
      <c r="V9" s="2">
        <f>+'[1]M_carbon tax '!U38</f>
        <v>1729.1692022182278</v>
      </c>
      <c r="W9" s="2">
        <f>+'[1]M_carbon tax '!V38</f>
        <v>1781.0442782847747</v>
      </c>
      <c r="X9" s="2">
        <f>+'[1]M_carbon tax '!W38</f>
        <v>1834.475606633318</v>
      </c>
      <c r="Y9" s="2">
        <f>+'[1]M_carbon tax '!X38</f>
        <v>1889.5098748323176</v>
      </c>
      <c r="Z9" s="2">
        <f>+'[1]M_carbon tax '!Y38</f>
        <v>1946.1951710772871</v>
      </c>
      <c r="AA9" s="2">
        <f>+'[1]M_carbon tax '!Z38</f>
        <v>2004.5810262096059</v>
      </c>
      <c r="AB9" s="2">
        <f>+'[1]M_carbon tax '!AA38</f>
        <v>2064.718456995894</v>
      </c>
      <c r="AC9" s="2">
        <f>+'[1]M_carbon tax '!AB38</f>
        <v>2126.6600107057711</v>
      </c>
      <c r="AD9" s="2">
        <f>+'[1]M_carbon tax '!AC38</f>
        <v>2190.4598110269444</v>
      </c>
      <c r="AE9" s="2">
        <f>+'[1]M_carbon tax '!AD38</f>
        <v>2256.1736053577529</v>
      </c>
      <c r="AF9" s="2">
        <f>+'[1]M_carbon tax '!AE38</f>
        <v>2323.8588135184855</v>
      </c>
      <c r="AG9" s="2">
        <f>+'[1]M_carbon tax '!AF38</f>
        <v>2393.5745779240401</v>
      </c>
      <c r="AH9" s="2">
        <f>+'[1]M_carbon tax '!AG38</f>
        <v>2465.3818152617614</v>
      </c>
      <c r="AI9" s="2">
        <f>+'[1]M_carbon tax '!AH38</f>
        <v>2539.3432697196145</v>
      </c>
      <c r="AJ9" s="2">
        <f>+'[1]M_carbon tax '!AI38</f>
        <v>2615.5235678112031</v>
      </c>
      <c r="AK9" s="2">
        <f>+'[1]M_carbon tax '!AJ38</f>
        <v>2693.9892748455391</v>
      </c>
      <c r="AL9" s="2">
        <f>+'[1]M_carbon tax '!AK38</f>
        <v>2774.8089530909051</v>
      </c>
      <c r="AM9" s="2">
        <f>+'[1]M_carbon tax '!AL38</f>
        <v>2858.0532216836323</v>
      </c>
      <c r="AN9" s="2">
        <f>+'[1]M_carbon tax '!AM38</f>
        <v>2943.7948183341414</v>
      </c>
      <c r="AO9" s="2">
        <f>+'[1]M_carbon tax '!AN38</f>
        <v>3032.1086628841658</v>
      </c>
      <c r="AP9" s="2">
        <f>+'[1]M_carbon tax '!AO38</f>
        <v>3123.0719227706909</v>
      </c>
      <c r="AQ9" s="2">
        <f>+'[1]M_carbon tax '!AP38</f>
        <v>3216.7640804538119</v>
      </c>
      <c r="AR9" s="2">
        <f>+'[1]M_carbon tax '!AQ38</f>
        <v>3313.2670028674261</v>
      </c>
      <c r="AS9" s="2">
        <f>+'[1]M_carbon tax '!AR38</f>
        <v>3412.6650129534491</v>
      </c>
      <c r="AT9" s="2">
        <f>+'[1]M_carbon tax '!AS38</f>
        <v>3515.0449633420526</v>
      </c>
      <c r="AU9" s="2">
        <f>+'[1]M_carbon tax '!AT38</f>
        <v>3620.4963122423142</v>
      </c>
      <c r="AV9" s="2">
        <f>+'[1]M_carbon tax '!AU38</f>
        <v>3729.1112016095835</v>
      </c>
      <c r="AW9" s="2">
        <f>+'[1]M_carbon tax '!AV38</f>
        <v>3840.984537657871</v>
      </c>
    </row>
    <row r="10" spans="1:49" x14ac:dyDescent="0.2">
      <c r="A10" t="s">
        <v>8</v>
      </c>
      <c r="B10">
        <v>0</v>
      </c>
      <c r="C10">
        <f>[1]baseline!C18</f>
        <v>0</v>
      </c>
      <c r="D10">
        <f>[1]baseline!D18</f>
        <v>0</v>
      </c>
      <c r="E10">
        <f>[1]baseline!E18</f>
        <v>0</v>
      </c>
      <c r="F10">
        <f>[1]baseline!F18</f>
        <v>0</v>
      </c>
      <c r="G10">
        <f>[1]baseline!G18</f>
        <v>0</v>
      </c>
      <c r="H10" s="2">
        <f>+'[1]M_carbon tax '!G39</f>
        <v>0</v>
      </c>
      <c r="I10" s="2">
        <f>+'[1]M_carbon tax '!H39</f>
        <v>200.85325714285713</v>
      </c>
      <c r="J10" s="2">
        <f>+'[1]M_carbon tax '!I39</f>
        <v>401.70651428571426</v>
      </c>
      <c r="K10" s="2">
        <f>+'[1]M_carbon tax '!J39</f>
        <v>602.55977142857137</v>
      </c>
      <c r="L10" s="2">
        <f>+'[1]M_carbon tax '!K39</f>
        <v>803.41302857142853</v>
      </c>
      <c r="M10" s="2">
        <f>+'[1]M_carbon tax '!L39</f>
        <v>1004.2662857142857</v>
      </c>
      <c r="N10" s="2">
        <f>+'[1]M_carbon tax '!M39</f>
        <v>1205.1195428571427</v>
      </c>
      <c r="O10" s="2">
        <f>+'[1]M_carbon tax '!N39</f>
        <v>1405.9728</v>
      </c>
      <c r="P10" s="2">
        <f>+'[1]M_carbon tax '!O39</f>
        <v>1448.1519840000001</v>
      </c>
      <c r="Q10" s="2">
        <f>+'[1]M_carbon tax '!P39</f>
        <v>1491.5965435200001</v>
      </c>
      <c r="R10" s="2">
        <f>+'[1]M_carbon tax '!Q39</f>
        <v>1536.3444398256001</v>
      </c>
      <c r="S10" s="2">
        <f>+'[1]M_carbon tax '!R39</f>
        <v>1582.4347730203681</v>
      </c>
      <c r="T10" s="2">
        <f>+'[1]M_carbon tax '!S39</f>
        <v>1629.9078162109793</v>
      </c>
      <c r="U10" s="2">
        <f>+'[1]M_carbon tax '!T39</f>
        <v>1678.8050506973086</v>
      </c>
      <c r="V10" s="2">
        <f>+'[1]M_carbon tax '!U39</f>
        <v>1729.1692022182278</v>
      </c>
      <c r="W10" s="2">
        <f>+'[1]M_carbon tax '!V39</f>
        <v>1781.0442782847747</v>
      </c>
      <c r="X10" s="2">
        <f>+'[1]M_carbon tax '!W39</f>
        <v>1834.475606633318</v>
      </c>
      <c r="Y10" s="2">
        <f>+'[1]M_carbon tax '!X39</f>
        <v>1889.5098748323176</v>
      </c>
      <c r="Z10" s="2">
        <f>+'[1]M_carbon tax '!Y39</f>
        <v>1946.1951710772871</v>
      </c>
      <c r="AA10" s="2">
        <f>+'[1]M_carbon tax '!Z39</f>
        <v>2004.5810262096059</v>
      </c>
      <c r="AB10" s="2">
        <f>+'[1]M_carbon tax '!AA39</f>
        <v>2064.718456995894</v>
      </c>
      <c r="AC10" s="2">
        <f>+'[1]M_carbon tax '!AB39</f>
        <v>2126.6600107057711</v>
      </c>
      <c r="AD10" s="2">
        <f>+'[1]M_carbon tax '!AC39</f>
        <v>2190.4598110269444</v>
      </c>
      <c r="AE10" s="2">
        <f>+'[1]M_carbon tax '!AD39</f>
        <v>2256.1736053577529</v>
      </c>
      <c r="AF10" s="2">
        <f>+'[1]M_carbon tax '!AE39</f>
        <v>2323.8588135184855</v>
      </c>
      <c r="AG10" s="2">
        <f>+'[1]M_carbon tax '!AF39</f>
        <v>2393.5745779240401</v>
      </c>
      <c r="AH10" s="2">
        <f>+'[1]M_carbon tax '!AG39</f>
        <v>2465.3818152617614</v>
      </c>
      <c r="AI10" s="2">
        <f>+'[1]M_carbon tax '!AH39</f>
        <v>2539.3432697196145</v>
      </c>
      <c r="AJ10" s="2">
        <f>+'[1]M_carbon tax '!AI39</f>
        <v>2615.5235678112031</v>
      </c>
      <c r="AK10" s="2">
        <f>+'[1]M_carbon tax '!AJ39</f>
        <v>2693.9892748455391</v>
      </c>
      <c r="AL10" s="2">
        <f>+'[1]M_carbon tax '!AK39</f>
        <v>2774.8089530909051</v>
      </c>
      <c r="AM10" s="2">
        <f>+'[1]M_carbon tax '!AL39</f>
        <v>2858.0532216836323</v>
      </c>
      <c r="AN10" s="2">
        <f>+'[1]M_carbon tax '!AM39</f>
        <v>2943.7948183341414</v>
      </c>
      <c r="AO10" s="2">
        <f>+'[1]M_carbon tax '!AN39</f>
        <v>3032.1086628841658</v>
      </c>
      <c r="AP10" s="2">
        <f>+'[1]M_carbon tax '!AO39</f>
        <v>3123.0719227706909</v>
      </c>
      <c r="AQ10" s="2">
        <f>+'[1]M_carbon tax '!AP39</f>
        <v>3216.7640804538119</v>
      </c>
      <c r="AR10" s="2">
        <f>+'[1]M_carbon tax '!AQ39</f>
        <v>3313.2670028674261</v>
      </c>
      <c r="AS10" s="2">
        <f>+'[1]M_carbon tax '!AR39</f>
        <v>3412.6650129534491</v>
      </c>
      <c r="AT10" s="2">
        <f>+'[1]M_carbon tax '!AS39</f>
        <v>3515.0449633420526</v>
      </c>
      <c r="AU10" s="2">
        <f>+'[1]M_carbon tax '!AT39</f>
        <v>3620.4963122423142</v>
      </c>
      <c r="AV10" s="2">
        <f>+'[1]M_carbon tax '!AU39</f>
        <v>3729.1112016095835</v>
      </c>
      <c r="AW10" s="2">
        <f>+'[1]M_carbon tax '!AV39</f>
        <v>3840.984537657871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FBD8-A67F-8F46-8CF1-51B9C2424351}">
  <dimension ref="A1:J49"/>
  <sheetViews>
    <sheetView tabSelected="1" workbookViewId="0">
      <selection activeCell="B2" sqref="B2"/>
    </sheetView>
  </sheetViews>
  <sheetFormatPr baseColWidth="10" defaultRowHeight="15" x14ac:dyDescent="0.2"/>
  <sheetData>
    <row r="1" spans="1:10" x14ac:dyDescent="0.2">
      <c r="A1" t="s">
        <v>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2018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2019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2020</v>
      </c>
      <c r="B4">
        <v>18.614868770956182</v>
      </c>
      <c r="C4">
        <v>55.376678626320519</v>
      </c>
      <c r="D4">
        <v>61.133589245308123</v>
      </c>
      <c r="E4">
        <v>45.320193596517967</v>
      </c>
      <c r="F4">
        <v>57.244876037359127</v>
      </c>
      <c r="G4">
        <v>6.0141544617017697</v>
      </c>
      <c r="H4">
        <v>46.773052766926988</v>
      </c>
      <c r="I4">
        <v>0</v>
      </c>
      <c r="J4">
        <v>0</v>
      </c>
    </row>
    <row r="5" spans="1:10" x14ac:dyDescent="0.2">
      <c r="A5">
        <v>2021</v>
      </c>
      <c r="B5">
        <v>19.165441642028529</v>
      </c>
      <c r="C5">
        <v>57.024367641075209</v>
      </c>
      <c r="D5">
        <v>62.957040101918565</v>
      </c>
      <c r="E5">
        <v>46.715594470306343</v>
      </c>
      <c r="F5">
        <v>58.937398653443992</v>
      </c>
      <c r="G5">
        <v>6.1931658477680891</v>
      </c>
      <c r="H5">
        <v>48.161852462274162</v>
      </c>
      <c r="I5">
        <v>0</v>
      </c>
      <c r="J5">
        <v>0</v>
      </c>
    </row>
    <row r="6" spans="1:10" x14ac:dyDescent="0.2">
      <c r="A6">
        <v>2022</v>
      </c>
      <c r="B6">
        <v>19.803665714175601</v>
      </c>
      <c r="C6">
        <v>58.923150133947942</v>
      </c>
      <c r="D6">
        <v>65.053528731532012</v>
      </c>
      <c r="E6">
        <v>48.271163096564337</v>
      </c>
      <c r="F6">
        <v>60.899972655828613</v>
      </c>
      <c r="G6">
        <v>6.3994058078202851</v>
      </c>
      <c r="H6">
        <v>49.591888820180174</v>
      </c>
      <c r="I6">
        <v>0</v>
      </c>
      <c r="J6">
        <v>0</v>
      </c>
    </row>
    <row r="7" spans="1:10" x14ac:dyDescent="0.2">
      <c r="A7">
        <v>2023</v>
      </c>
      <c r="B7">
        <v>21.263179338101295</v>
      </c>
      <c r="C7">
        <v>63.265527074354694</v>
      </c>
      <c r="D7">
        <v>69.847764917951721</v>
      </c>
      <c r="E7">
        <v>51.828828628692598</v>
      </c>
      <c r="F7">
        <v>65.388166517548768</v>
      </c>
      <c r="G7">
        <v>6.8710222963392171</v>
      </c>
      <c r="H7">
        <v>51.064386252160013</v>
      </c>
      <c r="I7">
        <v>0</v>
      </c>
      <c r="J7">
        <v>0</v>
      </c>
    </row>
    <row r="8" spans="1:10" x14ac:dyDescent="0.2">
      <c r="A8">
        <v>2024</v>
      </c>
      <c r="B8">
        <v>22.919577820722459</v>
      </c>
      <c r="C8">
        <v>68.193908194791589</v>
      </c>
      <c r="D8">
        <v>75.288846302979579</v>
      </c>
      <c r="E8">
        <v>55.865662686959148</v>
      </c>
      <c r="F8">
        <v>70.481531243553476</v>
      </c>
      <c r="G8">
        <v>7.4062663406775107</v>
      </c>
      <c r="H8">
        <v>50.025965431613962</v>
      </c>
      <c r="I8">
        <v>0</v>
      </c>
      <c r="J8">
        <v>0</v>
      </c>
    </row>
    <row r="9" spans="1:10" x14ac:dyDescent="0.2">
      <c r="A9">
        <v>2025</v>
      </c>
      <c r="B9">
        <v>220.49860956061926</v>
      </c>
      <c r="C9">
        <v>259.30517845267849</v>
      </c>
      <c r="D9">
        <v>265.38655397398247</v>
      </c>
      <c r="E9">
        <v>248.7381108745364</v>
      </c>
      <c r="F9">
        <v>261.2659982087601</v>
      </c>
      <c r="G9">
        <v>207.20148543486644</v>
      </c>
      <c r="H9">
        <v>243.73265608424055</v>
      </c>
      <c r="I9">
        <v>200.85325714285713</v>
      </c>
      <c r="J9">
        <v>200.85325714285713</v>
      </c>
    </row>
    <row r="10" spans="1:10" x14ac:dyDescent="0.2">
      <c r="A10">
        <v>2026</v>
      </c>
      <c r="B10">
        <v>418.07764130051606</v>
      </c>
      <c r="C10">
        <v>450.41644871056542</v>
      </c>
      <c r="D10">
        <v>455.48426164498539</v>
      </c>
      <c r="E10">
        <v>441.61055906211368</v>
      </c>
      <c r="F10">
        <v>452.0504651739667</v>
      </c>
      <c r="G10">
        <v>406.99670452905536</v>
      </c>
      <c r="H10">
        <v>437.43934673686715</v>
      </c>
      <c r="I10">
        <v>401.70651428571426</v>
      </c>
      <c r="J10">
        <v>401.70651428571426</v>
      </c>
    </row>
    <row r="11" spans="1:10" x14ac:dyDescent="0.2">
      <c r="A11">
        <v>2027</v>
      </c>
      <c r="B11">
        <v>615.6566730404129</v>
      </c>
      <c r="C11">
        <v>641.52771896845229</v>
      </c>
      <c r="D11">
        <v>645.58196931598832</v>
      </c>
      <c r="E11">
        <v>634.4830072496909</v>
      </c>
      <c r="F11">
        <v>642.83493213917336</v>
      </c>
      <c r="G11">
        <v>606.79192362324432</v>
      </c>
      <c r="H11">
        <v>631.1460373894937</v>
      </c>
      <c r="I11">
        <v>602.55977142857137</v>
      </c>
      <c r="J11">
        <v>602.55977142857137</v>
      </c>
    </row>
    <row r="12" spans="1:10" x14ac:dyDescent="0.2">
      <c r="A12">
        <v>2028</v>
      </c>
      <c r="B12">
        <v>813.23570478030967</v>
      </c>
      <c r="C12">
        <v>832.63898922633916</v>
      </c>
      <c r="D12">
        <v>835.67967698699124</v>
      </c>
      <c r="E12">
        <v>827.35545543726812</v>
      </c>
      <c r="F12">
        <v>833.61939910438002</v>
      </c>
      <c r="G12">
        <v>806.58714271743327</v>
      </c>
      <c r="H12">
        <v>824.85272804212025</v>
      </c>
      <c r="I12">
        <v>803.41302857142853</v>
      </c>
      <c r="J12">
        <v>803.41302857142853</v>
      </c>
    </row>
    <row r="13" spans="1:10" x14ac:dyDescent="0.2">
      <c r="A13">
        <v>2029</v>
      </c>
      <c r="B13">
        <v>1010.8147365202065</v>
      </c>
      <c r="C13">
        <v>1023.750259484226</v>
      </c>
      <c r="D13">
        <v>1025.7773846579942</v>
      </c>
      <c r="E13">
        <v>1020.2279036248453</v>
      </c>
      <c r="F13">
        <v>1024.4038660695867</v>
      </c>
      <c r="G13">
        <v>1006.3823618116222</v>
      </c>
      <c r="H13">
        <v>1018.5594186947468</v>
      </c>
      <c r="I13">
        <v>1004.2662857142857</v>
      </c>
      <c r="J13">
        <v>1004.2662857142857</v>
      </c>
    </row>
    <row r="14" spans="1:10" x14ac:dyDescent="0.2">
      <c r="A14">
        <v>2030</v>
      </c>
      <c r="B14">
        <v>1208.3937682601033</v>
      </c>
      <c r="C14">
        <v>1214.8615297421129</v>
      </c>
      <c r="D14">
        <v>1215.875092328997</v>
      </c>
      <c r="E14">
        <v>1213.1003518124226</v>
      </c>
      <c r="F14">
        <v>1215.1883330347932</v>
      </c>
      <c r="G14">
        <v>1206.1775809058111</v>
      </c>
      <c r="H14">
        <v>1212.2661093473735</v>
      </c>
      <c r="I14">
        <v>1205.1195428571427</v>
      </c>
      <c r="J14">
        <v>1205.1195428571427</v>
      </c>
    </row>
    <row r="15" spans="1:10" x14ac:dyDescent="0.2">
      <c r="A15">
        <v>2031</v>
      </c>
      <c r="B15">
        <v>1405.9728</v>
      </c>
      <c r="C15">
        <v>1405.9728</v>
      </c>
      <c r="D15">
        <v>1405.9728</v>
      </c>
      <c r="E15">
        <v>1405.9728</v>
      </c>
      <c r="F15">
        <v>1405.9728</v>
      </c>
      <c r="G15">
        <v>1405.9728</v>
      </c>
      <c r="H15">
        <v>1405.9728</v>
      </c>
      <c r="I15">
        <v>1405.9728</v>
      </c>
      <c r="J15">
        <v>1405.9728</v>
      </c>
    </row>
    <row r="16" spans="1:10" x14ac:dyDescent="0.2">
      <c r="A16">
        <v>2032</v>
      </c>
      <c r="B16">
        <v>1448.1519840000001</v>
      </c>
      <c r="C16">
        <v>1448.1519840000001</v>
      </c>
      <c r="D16">
        <v>1448.1519840000001</v>
      </c>
      <c r="E16">
        <v>1448.1519840000001</v>
      </c>
      <c r="F16">
        <v>1448.1519840000001</v>
      </c>
      <c r="G16">
        <v>1448.1519840000001</v>
      </c>
      <c r="H16">
        <v>1448.1519840000001</v>
      </c>
      <c r="I16">
        <v>1448.1519840000001</v>
      </c>
      <c r="J16">
        <v>1448.1519840000001</v>
      </c>
    </row>
    <row r="17" spans="1:10" x14ac:dyDescent="0.2">
      <c r="A17">
        <v>2033</v>
      </c>
      <c r="B17">
        <v>1491.5965435200001</v>
      </c>
      <c r="C17">
        <v>1491.5965435200001</v>
      </c>
      <c r="D17">
        <v>1491.5965435200001</v>
      </c>
      <c r="E17">
        <v>1491.5965435200001</v>
      </c>
      <c r="F17">
        <v>1491.5965435200001</v>
      </c>
      <c r="G17">
        <v>1491.5965435200001</v>
      </c>
      <c r="H17">
        <v>1491.5965435200001</v>
      </c>
      <c r="I17">
        <v>1491.5965435200001</v>
      </c>
      <c r="J17">
        <v>1491.5965435200001</v>
      </c>
    </row>
    <row r="18" spans="1:10" x14ac:dyDescent="0.2">
      <c r="A18">
        <v>2034</v>
      </c>
      <c r="B18">
        <v>1536.3444398256001</v>
      </c>
      <c r="C18">
        <v>1536.3444398256001</v>
      </c>
      <c r="D18">
        <v>1536.3444398256001</v>
      </c>
      <c r="E18">
        <v>1536.3444398256001</v>
      </c>
      <c r="F18">
        <v>1536.3444398256001</v>
      </c>
      <c r="G18">
        <v>1536.3444398256001</v>
      </c>
      <c r="H18">
        <v>1536.3444398256001</v>
      </c>
      <c r="I18">
        <v>1536.3444398256001</v>
      </c>
      <c r="J18">
        <v>1536.3444398256001</v>
      </c>
    </row>
    <row r="19" spans="1:10" x14ac:dyDescent="0.2">
      <c r="A19">
        <v>2035</v>
      </c>
      <c r="B19">
        <v>1582.4347730203681</v>
      </c>
      <c r="C19">
        <v>1582.4347730203681</v>
      </c>
      <c r="D19">
        <v>1582.4347730203681</v>
      </c>
      <c r="E19">
        <v>1582.4347730203681</v>
      </c>
      <c r="F19">
        <v>1582.4347730203681</v>
      </c>
      <c r="G19">
        <v>1582.4347730203681</v>
      </c>
      <c r="H19">
        <v>1582.4347730203681</v>
      </c>
      <c r="I19">
        <v>1582.4347730203681</v>
      </c>
      <c r="J19">
        <v>1582.4347730203681</v>
      </c>
    </row>
    <row r="20" spans="1:10" x14ac:dyDescent="0.2">
      <c r="A20">
        <v>2036</v>
      </c>
      <c r="B20">
        <v>1629.9078162109793</v>
      </c>
      <c r="C20">
        <v>1629.9078162109793</v>
      </c>
      <c r="D20">
        <v>1629.9078162109793</v>
      </c>
      <c r="E20">
        <v>1629.9078162109793</v>
      </c>
      <c r="F20">
        <v>1629.9078162109793</v>
      </c>
      <c r="G20">
        <v>1629.9078162109793</v>
      </c>
      <c r="H20">
        <v>1629.9078162109793</v>
      </c>
      <c r="I20">
        <v>1629.9078162109793</v>
      </c>
      <c r="J20">
        <v>1629.9078162109793</v>
      </c>
    </row>
    <row r="21" spans="1:10" x14ac:dyDescent="0.2">
      <c r="A21">
        <v>2037</v>
      </c>
      <c r="B21">
        <v>1678.8050506973086</v>
      </c>
      <c r="C21">
        <v>1678.8050506973086</v>
      </c>
      <c r="D21">
        <v>1678.8050506973086</v>
      </c>
      <c r="E21">
        <v>1678.8050506973086</v>
      </c>
      <c r="F21">
        <v>1678.8050506973086</v>
      </c>
      <c r="G21">
        <v>1678.8050506973086</v>
      </c>
      <c r="H21">
        <v>1678.8050506973086</v>
      </c>
      <c r="I21">
        <v>1678.8050506973086</v>
      </c>
      <c r="J21">
        <v>1678.8050506973086</v>
      </c>
    </row>
    <row r="22" spans="1:10" x14ac:dyDescent="0.2">
      <c r="A22">
        <v>2038</v>
      </c>
      <c r="B22">
        <v>1729.1692022182278</v>
      </c>
      <c r="C22">
        <v>1729.1692022182278</v>
      </c>
      <c r="D22">
        <v>1729.1692022182278</v>
      </c>
      <c r="E22">
        <v>1729.1692022182278</v>
      </c>
      <c r="F22">
        <v>1729.1692022182278</v>
      </c>
      <c r="G22">
        <v>1729.1692022182278</v>
      </c>
      <c r="H22">
        <v>1729.1692022182278</v>
      </c>
      <c r="I22">
        <v>1729.1692022182278</v>
      </c>
      <c r="J22">
        <v>1729.1692022182278</v>
      </c>
    </row>
    <row r="23" spans="1:10" x14ac:dyDescent="0.2">
      <c r="A23">
        <v>2039</v>
      </c>
      <c r="B23">
        <v>1781.0442782847747</v>
      </c>
      <c r="C23">
        <v>1781.0442782847747</v>
      </c>
      <c r="D23">
        <v>1781.0442782847747</v>
      </c>
      <c r="E23">
        <v>1781.0442782847747</v>
      </c>
      <c r="F23">
        <v>1781.0442782847747</v>
      </c>
      <c r="G23">
        <v>1781.0442782847747</v>
      </c>
      <c r="H23">
        <v>1781.0442782847747</v>
      </c>
      <c r="I23">
        <v>1781.0442782847747</v>
      </c>
      <c r="J23">
        <v>1781.0442782847747</v>
      </c>
    </row>
    <row r="24" spans="1:10" x14ac:dyDescent="0.2">
      <c r="A24">
        <v>2040</v>
      </c>
      <c r="B24">
        <v>1834.475606633318</v>
      </c>
      <c r="C24">
        <v>1834.475606633318</v>
      </c>
      <c r="D24">
        <v>1834.475606633318</v>
      </c>
      <c r="E24">
        <v>1834.475606633318</v>
      </c>
      <c r="F24">
        <v>1834.475606633318</v>
      </c>
      <c r="G24">
        <v>1834.475606633318</v>
      </c>
      <c r="H24">
        <v>1834.475606633318</v>
      </c>
      <c r="I24">
        <v>1834.475606633318</v>
      </c>
      <c r="J24">
        <v>1834.475606633318</v>
      </c>
    </row>
    <row r="25" spans="1:10" x14ac:dyDescent="0.2">
      <c r="A25">
        <v>2041</v>
      </c>
      <c r="B25">
        <v>1889.5098748323176</v>
      </c>
      <c r="C25">
        <v>1889.5098748323176</v>
      </c>
      <c r="D25">
        <v>1889.5098748323176</v>
      </c>
      <c r="E25">
        <v>1889.5098748323176</v>
      </c>
      <c r="F25">
        <v>1889.5098748323176</v>
      </c>
      <c r="G25">
        <v>1889.5098748323176</v>
      </c>
      <c r="H25">
        <v>1889.5098748323176</v>
      </c>
      <c r="I25">
        <v>1889.5098748323176</v>
      </c>
      <c r="J25">
        <v>1889.5098748323176</v>
      </c>
    </row>
    <row r="26" spans="1:10" x14ac:dyDescent="0.2">
      <c r="A26">
        <v>2042</v>
      </c>
      <c r="B26">
        <v>1946.1951710772871</v>
      </c>
      <c r="C26">
        <v>1946.1951710772871</v>
      </c>
      <c r="D26">
        <v>1946.1951710772871</v>
      </c>
      <c r="E26">
        <v>1946.1951710772871</v>
      </c>
      <c r="F26">
        <v>1946.1951710772871</v>
      </c>
      <c r="G26">
        <v>1946.1951710772871</v>
      </c>
      <c r="H26">
        <v>1946.1951710772871</v>
      </c>
      <c r="I26">
        <v>1946.1951710772871</v>
      </c>
      <c r="J26">
        <v>1946.1951710772871</v>
      </c>
    </row>
    <row r="27" spans="1:10" x14ac:dyDescent="0.2">
      <c r="A27">
        <v>2043</v>
      </c>
      <c r="B27">
        <v>2004.5810262096059</v>
      </c>
      <c r="C27">
        <v>2004.5810262096059</v>
      </c>
      <c r="D27">
        <v>2004.5810262096059</v>
      </c>
      <c r="E27">
        <v>2004.5810262096059</v>
      </c>
      <c r="F27">
        <v>2004.5810262096059</v>
      </c>
      <c r="G27">
        <v>2004.5810262096059</v>
      </c>
      <c r="H27">
        <v>2004.5810262096059</v>
      </c>
      <c r="I27">
        <v>2004.5810262096059</v>
      </c>
      <c r="J27">
        <v>2004.5810262096059</v>
      </c>
    </row>
    <row r="28" spans="1:10" x14ac:dyDescent="0.2">
      <c r="A28">
        <v>2044</v>
      </c>
      <c r="B28">
        <v>2064.718456995894</v>
      </c>
      <c r="C28">
        <v>2064.718456995894</v>
      </c>
      <c r="D28">
        <v>2064.718456995894</v>
      </c>
      <c r="E28">
        <v>2064.718456995894</v>
      </c>
      <c r="F28">
        <v>2064.718456995894</v>
      </c>
      <c r="G28">
        <v>2064.718456995894</v>
      </c>
      <c r="H28">
        <v>2064.718456995894</v>
      </c>
      <c r="I28">
        <v>2064.718456995894</v>
      </c>
      <c r="J28">
        <v>2064.718456995894</v>
      </c>
    </row>
    <row r="29" spans="1:10" x14ac:dyDescent="0.2">
      <c r="A29">
        <v>2045</v>
      </c>
      <c r="B29">
        <v>2126.6600107057711</v>
      </c>
      <c r="C29">
        <v>2126.6600107057711</v>
      </c>
      <c r="D29">
        <v>2126.6600107057711</v>
      </c>
      <c r="E29">
        <v>2126.6600107057711</v>
      </c>
      <c r="F29">
        <v>2126.6600107057711</v>
      </c>
      <c r="G29">
        <v>2126.6600107057711</v>
      </c>
      <c r="H29">
        <v>2126.6600107057711</v>
      </c>
      <c r="I29">
        <v>2126.6600107057711</v>
      </c>
      <c r="J29">
        <v>2126.6600107057711</v>
      </c>
    </row>
    <row r="30" spans="1:10" x14ac:dyDescent="0.2">
      <c r="A30">
        <v>2046</v>
      </c>
      <c r="B30">
        <v>2190.4598110269444</v>
      </c>
      <c r="C30">
        <v>2190.4598110269444</v>
      </c>
      <c r="D30">
        <v>2190.4598110269444</v>
      </c>
      <c r="E30">
        <v>2190.4598110269444</v>
      </c>
      <c r="F30">
        <v>2190.4598110269444</v>
      </c>
      <c r="G30">
        <v>2190.4598110269444</v>
      </c>
      <c r="H30">
        <v>2190.4598110269444</v>
      </c>
      <c r="I30">
        <v>2190.4598110269444</v>
      </c>
      <c r="J30">
        <v>2190.4598110269444</v>
      </c>
    </row>
    <row r="31" spans="1:10" x14ac:dyDescent="0.2">
      <c r="A31">
        <v>2047</v>
      </c>
      <c r="B31">
        <v>2256.1736053577529</v>
      </c>
      <c r="C31">
        <v>2256.1736053577529</v>
      </c>
      <c r="D31">
        <v>2256.1736053577529</v>
      </c>
      <c r="E31">
        <v>2256.1736053577529</v>
      </c>
      <c r="F31">
        <v>2256.1736053577529</v>
      </c>
      <c r="G31">
        <v>2256.1736053577529</v>
      </c>
      <c r="H31">
        <v>2256.1736053577529</v>
      </c>
      <c r="I31">
        <v>2256.1736053577529</v>
      </c>
      <c r="J31">
        <v>2256.1736053577529</v>
      </c>
    </row>
    <row r="32" spans="1:10" x14ac:dyDescent="0.2">
      <c r="A32">
        <v>2048</v>
      </c>
      <c r="B32">
        <v>2323.8588135184855</v>
      </c>
      <c r="C32">
        <v>2323.8588135184855</v>
      </c>
      <c r="D32">
        <v>2323.8588135184855</v>
      </c>
      <c r="E32">
        <v>2323.8588135184855</v>
      </c>
      <c r="F32">
        <v>2323.8588135184855</v>
      </c>
      <c r="G32">
        <v>2323.8588135184855</v>
      </c>
      <c r="H32">
        <v>2323.8588135184855</v>
      </c>
      <c r="I32">
        <v>2323.8588135184855</v>
      </c>
      <c r="J32">
        <v>2323.8588135184855</v>
      </c>
    </row>
    <row r="33" spans="1:10" x14ac:dyDescent="0.2">
      <c r="A33">
        <v>2049</v>
      </c>
      <c r="B33">
        <v>2393.5745779240401</v>
      </c>
      <c r="C33">
        <v>2393.5745779240401</v>
      </c>
      <c r="D33">
        <v>2393.5745779240401</v>
      </c>
      <c r="E33">
        <v>2393.5745779240401</v>
      </c>
      <c r="F33">
        <v>2393.5745779240401</v>
      </c>
      <c r="G33">
        <v>2393.5745779240401</v>
      </c>
      <c r="H33">
        <v>2393.5745779240401</v>
      </c>
      <c r="I33">
        <v>2393.5745779240401</v>
      </c>
      <c r="J33">
        <v>2393.5745779240401</v>
      </c>
    </row>
    <row r="34" spans="1:10" x14ac:dyDescent="0.2">
      <c r="A34">
        <v>2050</v>
      </c>
      <c r="B34">
        <v>2465.3818152617614</v>
      </c>
      <c r="C34">
        <v>2465.3818152617614</v>
      </c>
      <c r="D34">
        <v>2465.3818152617614</v>
      </c>
      <c r="E34">
        <v>2465.3818152617614</v>
      </c>
      <c r="F34">
        <v>2465.3818152617614</v>
      </c>
      <c r="G34">
        <v>2465.3818152617614</v>
      </c>
      <c r="H34">
        <v>2465.3818152617614</v>
      </c>
      <c r="I34">
        <v>2465.3818152617614</v>
      </c>
      <c r="J34">
        <v>2465.3818152617614</v>
      </c>
    </row>
    <row r="35" spans="1:10" x14ac:dyDescent="0.2">
      <c r="A35">
        <v>2051</v>
      </c>
      <c r="B35">
        <v>2539.3432697196145</v>
      </c>
      <c r="C35">
        <v>2539.3432697196145</v>
      </c>
      <c r="D35">
        <v>2539.3432697196145</v>
      </c>
      <c r="E35">
        <v>2539.3432697196145</v>
      </c>
      <c r="F35">
        <v>2539.3432697196145</v>
      </c>
      <c r="G35">
        <v>2539.3432697196145</v>
      </c>
      <c r="H35">
        <v>2539.3432697196145</v>
      </c>
      <c r="I35">
        <v>2539.3432697196145</v>
      </c>
      <c r="J35">
        <v>2539.3432697196145</v>
      </c>
    </row>
    <row r="36" spans="1:10" x14ac:dyDescent="0.2">
      <c r="A36">
        <v>2052</v>
      </c>
      <c r="B36">
        <v>2615.5235678112031</v>
      </c>
      <c r="C36">
        <v>2615.5235678112031</v>
      </c>
      <c r="D36">
        <v>2615.5235678112031</v>
      </c>
      <c r="E36">
        <v>2615.5235678112031</v>
      </c>
      <c r="F36">
        <v>2615.5235678112031</v>
      </c>
      <c r="G36">
        <v>2615.5235678112031</v>
      </c>
      <c r="H36">
        <v>2615.5235678112031</v>
      </c>
      <c r="I36">
        <v>2615.5235678112031</v>
      </c>
      <c r="J36">
        <v>2615.5235678112031</v>
      </c>
    </row>
    <row r="37" spans="1:10" x14ac:dyDescent="0.2">
      <c r="A37">
        <v>2053</v>
      </c>
      <c r="B37">
        <v>2693.9892748455391</v>
      </c>
      <c r="C37">
        <v>2693.9892748455391</v>
      </c>
      <c r="D37">
        <v>2693.9892748455391</v>
      </c>
      <c r="E37">
        <v>2693.9892748455391</v>
      </c>
      <c r="F37">
        <v>2693.9892748455391</v>
      </c>
      <c r="G37">
        <v>2693.9892748455391</v>
      </c>
      <c r="H37">
        <v>2693.9892748455391</v>
      </c>
      <c r="I37">
        <v>2693.9892748455391</v>
      </c>
      <c r="J37">
        <v>2693.9892748455391</v>
      </c>
    </row>
    <row r="38" spans="1:10" x14ac:dyDescent="0.2">
      <c r="A38">
        <v>2054</v>
      </c>
      <c r="B38">
        <v>2774.8089530909051</v>
      </c>
      <c r="C38">
        <v>2774.8089530909051</v>
      </c>
      <c r="D38">
        <v>2774.8089530909051</v>
      </c>
      <c r="E38">
        <v>2774.8089530909051</v>
      </c>
      <c r="F38">
        <v>2774.8089530909051</v>
      </c>
      <c r="G38">
        <v>2774.8089530909051</v>
      </c>
      <c r="H38">
        <v>2774.8089530909051</v>
      </c>
      <c r="I38">
        <v>2774.8089530909051</v>
      </c>
      <c r="J38">
        <v>2774.8089530909051</v>
      </c>
    </row>
    <row r="39" spans="1:10" x14ac:dyDescent="0.2">
      <c r="A39">
        <v>2055</v>
      </c>
      <c r="B39">
        <v>2858.0532216836323</v>
      </c>
      <c r="C39">
        <v>2858.0532216836323</v>
      </c>
      <c r="D39">
        <v>2858.0532216836323</v>
      </c>
      <c r="E39">
        <v>2858.0532216836323</v>
      </c>
      <c r="F39">
        <v>2858.0532216836323</v>
      </c>
      <c r="G39">
        <v>2858.0532216836323</v>
      </c>
      <c r="H39">
        <v>2858.0532216836323</v>
      </c>
      <c r="I39">
        <v>2858.0532216836323</v>
      </c>
      <c r="J39">
        <v>2858.0532216836323</v>
      </c>
    </row>
    <row r="40" spans="1:10" x14ac:dyDescent="0.2">
      <c r="A40">
        <v>2056</v>
      </c>
      <c r="B40">
        <v>2943.7948183341414</v>
      </c>
      <c r="C40">
        <v>2943.7948183341414</v>
      </c>
      <c r="D40">
        <v>2943.7948183341414</v>
      </c>
      <c r="E40">
        <v>2943.7948183341414</v>
      </c>
      <c r="F40">
        <v>2943.7948183341414</v>
      </c>
      <c r="G40">
        <v>2943.7948183341414</v>
      </c>
      <c r="H40">
        <v>2943.7948183341414</v>
      </c>
      <c r="I40">
        <v>2943.7948183341414</v>
      </c>
      <c r="J40">
        <v>2943.7948183341414</v>
      </c>
    </row>
    <row r="41" spans="1:10" x14ac:dyDescent="0.2">
      <c r="A41">
        <v>2057</v>
      </c>
      <c r="B41">
        <v>3032.1086628841658</v>
      </c>
      <c r="C41">
        <v>3032.1086628841658</v>
      </c>
      <c r="D41">
        <v>3032.1086628841658</v>
      </c>
      <c r="E41">
        <v>3032.1086628841658</v>
      </c>
      <c r="F41">
        <v>3032.1086628841658</v>
      </c>
      <c r="G41">
        <v>3032.1086628841658</v>
      </c>
      <c r="H41">
        <v>3032.1086628841658</v>
      </c>
      <c r="I41">
        <v>3032.1086628841658</v>
      </c>
      <c r="J41">
        <v>3032.1086628841658</v>
      </c>
    </row>
    <row r="42" spans="1:10" x14ac:dyDescent="0.2">
      <c r="A42">
        <v>2058</v>
      </c>
      <c r="B42">
        <v>3123.0719227706909</v>
      </c>
      <c r="C42">
        <v>3123.0719227706909</v>
      </c>
      <c r="D42">
        <v>3123.0719227706909</v>
      </c>
      <c r="E42">
        <v>3123.0719227706909</v>
      </c>
      <c r="F42">
        <v>3123.0719227706909</v>
      </c>
      <c r="G42">
        <v>3123.0719227706909</v>
      </c>
      <c r="H42">
        <v>3123.0719227706909</v>
      </c>
      <c r="I42">
        <v>3123.0719227706909</v>
      </c>
      <c r="J42">
        <v>3123.0719227706909</v>
      </c>
    </row>
    <row r="43" spans="1:10" x14ac:dyDescent="0.2">
      <c r="A43">
        <v>2059</v>
      </c>
      <c r="B43">
        <v>3216.7640804538119</v>
      </c>
      <c r="C43">
        <v>3216.7640804538119</v>
      </c>
      <c r="D43">
        <v>3216.7640804538119</v>
      </c>
      <c r="E43">
        <v>3216.7640804538119</v>
      </c>
      <c r="F43">
        <v>3216.7640804538119</v>
      </c>
      <c r="G43">
        <v>3216.7640804538119</v>
      </c>
      <c r="H43">
        <v>3216.7640804538119</v>
      </c>
      <c r="I43">
        <v>3216.7640804538119</v>
      </c>
      <c r="J43">
        <v>3216.7640804538119</v>
      </c>
    </row>
    <row r="44" spans="1:10" x14ac:dyDescent="0.2">
      <c r="A44">
        <v>2060</v>
      </c>
      <c r="B44">
        <v>3313.2670028674261</v>
      </c>
      <c r="C44">
        <v>3313.2670028674261</v>
      </c>
      <c r="D44">
        <v>3313.2670028674261</v>
      </c>
      <c r="E44">
        <v>3313.2670028674261</v>
      </c>
      <c r="F44">
        <v>3313.2670028674261</v>
      </c>
      <c r="G44">
        <v>3313.2670028674261</v>
      </c>
      <c r="H44">
        <v>3313.2670028674261</v>
      </c>
      <c r="I44">
        <v>3313.2670028674261</v>
      </c>
      <c r="J44">
        <v>3313.2670028674261</v>
      </c>
    </row>
    <row r="45" spans="1:10" x14ac:dyDescent="0.2">
      <c r="A45">
        <v>2061</v>
      </c>
      <c r="B45">
        <v>3412.6650129534491</v>
      </c>
      <c r="C45">
        <v>3412.6650129534491</v>
      </c>
      <c r="D45">
        <v>3412.6650129534491</v>
      </c>
      <c r="E45">
        <v>3412.6650129534491</v>
      </c>
      <c r="F45">
        <v>3412.6650129534491</v>
      </c>
      <c r="G45">
        <v>3412.6650129534491</v>
      </c>
      <c r="H45">
        <v>3412.6650129534491</v>
      </c>
      <c r="I45">
        <v>3412.6650129534491</v>
      </c>
      <c r="J45">
        <v>3412.6650129534491</v>
      </c>
    </row>
    <row r="46" spans="1:10" x14ac:dyDescent="0.2">
      <c r="A46">
        <v>2062</v>
      </c>
      <c r="B46">
        <v>3515.0449633420526</v>
      </c>
      <c r="C46">
        <v>3515.0449633420526</v>
      </c>
      <c r="D46">
        <v>3515.0449633420526</v>
      </c>
      <c r="E46">
        <v>3515.0449633420526</v>
      </c>
      <c r="F46">
        <v>3515.0449633420526</v>
      </c>
      <c r="G46">
        <v>3515.0449633420526</v>
      </c>
      <c r="H46">
        <v>3515.0449633420526</v>
      </c>
      <c r="I46">
        <v>3515.0449633420526</v>
      </c>
      <c r="J46">
        <v>3515.0449633420526</v>
      </c>
    </row>
    <row r="47" spans="1:10" x14ac:dyDescent="0.2">
      <c r="A47">
        <v>2063</v>
      </c>
      <c r="B47">
        <v>3620.4963122423142</v>
      </c>
      <c r="C47">
        <v>3620.4963122423142</v>
      </c>
      <c r="D47">
        <v>3620.4963122423142</v>
      </c>
      <c r="E47">
        <v>3620.4963122423142</v>
      </c>
      <c r="F47">
        <v>3620.4963122423142</v>
      </c>
      <c r="G47">
        <v>3620.4963122423142</v>
      </c>
      <c r="H47">
        <v>3620.4963122423142</v>
      </c>
      <c r="I47">
        <v>3620.4963122423142</v>
      </c>
      <c r="J47">
        <v>3620.4963122423142</v>
      </c>
    </row>
    <row r="48" spans="1:10" x14ac:dyDescent="0.2">
      <c r="A48">
        <v>2064</v>
      </c>
      <c r="B48">
        <v>3729.1112016095835</v>
      </c>
      <c r="C48">
        <v>3729.1112016095835</v>
      </c>
      <c r="D48">
        <v>3729.1112016095835</v>
      </c>
      <c r="E48">
        <v>3729.1112016095835</v>
      </c>
      <c r="F48">
        <v>3729.1112016095835</v>
      </c>
      <c r="G48">
        <v>3729.1112016095835</v>
      </c>
      <c r="H48">
        <v>3729.1112016095835</v>
      </c>
      <c r="I48">
        <v>3729.1112016095835</v>
      </c>
      <c r="J48">
        <v>3729.1112016095835</v>
      </c>
    </row>
    <row r="49" spans="1:10" x14ac:dyDescent="0.2">
      <c r="A49">
        <v>2065</v>
      </c>
      <c r="B49">
        <v>3840.984537657871</v>
      </c>
      <c r="C49">
        <v>3840.984537657871</v>
      </c>
      <c r="D49">
        <v>3840.984537657871</v>
      </c>
      <c r="E49">
        <v>3840.984537657871</v>
      </c>
      <c r="F49">
        <v>3840.984537657871</v>
      </c>
      <c r="G49">
        <v>3840.984537657871</v>
      </c>
      <c r="H49">
        <v>3840.984537657871</v>
      </c>
      <c r="I49">
        <v>3840.984537657871</v>
      </c>
      <c r="J49">
        <v>3840.984537657871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2EA0-F910-B649-8C38-196400C246B9}">
  <dimension ref="A1:C29"/>
  <sheetViews>
    <sheetView workbookViewId="0">
      <selection activeCell="B29" sqref="B29"/>
    </sheetView>
  </sheetViews>
  <sheetFormatPr baseColWidth="10" defaultRowHeight="15" x14ac:dyDescent="0.2"/>
  <sheetData>
    <row r="1" spans="1:3" x14ac:dyDescent="0.2">
      <c r="A1" s="4" t="s">
        <v>9</v>
      </c>
      <c r="B1" s="4" t="s">
        <v>10</v>
      </c>
      <c r="C1" t="s">
        <v>68</v>
      </c>
    </row>
    <row r="2" spans="1:3" x14ac:dyDescent="0.2">
      <c r="A2" t="s">
        <v>11</v>
      </c>
      <c r="B2" t="s">
        <v>12</v>
      </c>
      <c r="C2" s="1" t="s">
        <v>67</v>
      </c>
    </row>
    <row r="3" spans="1:3" x14ac:dyDescent="0.2">
      <c r="A3" t="s">
        <v>13</v>
      </c>
      <c r="B3" t="s">
        <v>14</v>
      </c>
    </row>
    <row r="4" spans="1:3" x14ac:dyDescent="0.2">
      <c r="A4" t="s">
        <v>15</v>
      </c>
      <c r="B4" t="s">
        <v>16</v>
      </c>
    </row>
    <row r="5" spans="1:3" x14ac:dyDescent="0.2">
      <c r="A5" t="s">
        <v>17</v>
      </c>
      <c r="B5" t="s">
        <v>18</v>
      </c>
    </row>
    <row r="6" spans="1:3" x14ac:dyDescent="0.2">
      <c r="A6" t="s">
        <v>19</v>
      </c>
      <c r="B6" t="s">
        <v>20</v>
      </c>
    </row>
    <row r="7" spans="1:3" x14ac:dyDescent="0.2">
      <c r="A7" t="s">
        <v>21</v>
      </c>
      <c r="B7" t="s">
        <v>22</v>
      </c>
    </row>
    <row r="8" spans="1:3" x14ac:dyDescent="0.2">
      <c r="A8" t="s">
        <v>23</v>
      </c>
      <c r="B8" t="s">
        <v>24</v>
      </c>
    </row>
    <row r="9" spans="1:3" x14ac:dyDescent="0.2">
      <c r="A9" t="s">
        <v>25</v>
      </c>
      <c r="B9" t="s">
        <v>26</v>
      </c>
    </row>
    <row r="10" spans="1:3" x14ac:dyDescent="0.2">
      <c r="A10" t="s">
        <v>27</v>
      </c>
      <c r="B10" t="s">
        <v>28</v>
      </c>
    </row>
    <row r="11" spans="1:3" x14ac:dyDescent="0.2">
      <c r="A11" t="s">
        <v>29</v>
      </c>
      <c r="B11" t="s">
        <v>30</v>
      </c>
    </row>
    <row r="12" spans="1:3" x14ac:dyDescent="0.2">
      <c r="A12" t="s">
        <v>31</v>
      </c>
      <c r="B12" t="s">
        <v>32</v>
      </c>
    </row>
    <row r="13" spans="1:3" x14ac:dyDescent="0.2">
      <c r="A13" t="s">
        <v>33</v>
      </c>
      <c r="B13" t="s">
        <v>34</v>
      </c>
    </row>
    <row r="14" spans="1:3" x14ac:dyDescent="0.2">
      <c r="A14" t="s">
        <v>35</v>
      </c>
      <c r="B14" t="s">
        <v>36</v>
      </c>
    </row>
    <row r="15" spans="1:3" x14ac:dyDescent="0.2">
      <c r="A15" t="s">
        <v>37</v>
      </c>
      <c r="B15" t="s">
        <v>38</v>
      </c>
    </row>
    <row r="16" spans="1:3" x14ac:dyDescent="0.2">
      <c r="A16" t="s">
        <v>39</v>
      </c>
      <c r="B16" t="s">
        <v>40</v>
      </c>
    </row>
    <row r="17" spans="1:2" x14ac:dyDescent="0.2">
      <c r="A17" t="s">
        <v>41</v>
      </c>
      <c r="B17" t="s">
        <v>42</v>
      </c>
    </row>
    <row r="18" spans="1:2" x14ac:dyDescent="0.2">
      <c r="A18" t="s">
        <v>43</v>
      </c>
      <c r="B18" t="s">
        <v>44</v>
      </c>
    </row>
    <row r="19" spans="1:2" x14ac:dyDescent="0.2">
      <c r="A19" t="s">
        <v>45</v>
      </c>
      <c r="B19" t="s">
        <v>46</v>
      </c>
    </row>
    <row r="20" spans="1:2" x14ac:dyDescent="0.2">
      <c r="A20" s="3" t="s">
        <v>47</v>
      </c>
      <c r="B20" s="3" t="s">
        <v>48</v>
      </c>
    </row>
    <row r="21" spans="1:2" x14ac:dyDescent="0.2">
      <c r="A21" s="3" t="s">
        <v>49</v>
      </c>
      <c r="B21" s="3" t="s">
        <v>50</v>
      </c>
    </row>
    <row r="22" spans="1:2" x14ac:dyDescent="0.2">
      <c r="A22" s="3" t="s">
        <v>51</v>
      </c>
      <c r="B22" s="3" t="s">
        <v>52</v>
      </c>
    </row>
    <row r="23" spans="1:2" x14ac:dyDescent="0.2">
      <c r="A23" s="3" t="s">
        <v>53</v>
      </c>
      <c r="B23" s="3" t="s">
        <v>54</v>
      </c>
    </row>
    <row r="24" spans="1:2" x14ac:dyDescent="0.2">
      <c r="A24" s="3" t="s">
        <v>55</v>
      </c>
      <c r="B24" s="3" t="s">
        <v>56</v>
      </c>
    </row>
    <row r="25" spans="1:2" x14ac:dyDescent="0.2">
      <c r="A25" s="3" t="s">
        <v>57</v>
      </c>
      <c r="B25" s="3" t="s">
        <v>58</v>
      </c>
    </row>
    <row r="26" spans="1:2" x14ac:dyDescent="0.2">
      <c r="A26" s="3" t="s">
        <v>59</v>
      </c>
      <c r="B26" s="3" t="s">
        <v>60</v>
      </c>
    </row>
    <row r="27" spans="1:2" x14ac:dyDescent="0.2">
      <c r="A27" s="3" t="s">
        <v>61</v>
      </c>
      <c r="B27" s="3" t="s">
        <v>62</v>
      </c>
    </row>
    <row r="28" spans="1:2" x14ac:dyDescent="0.2">
      <c r="A28" s="3" t="s">
        <v>63</v>
      </c>
      <c r="B28" s="3" t="s">
        <v>64</v>
      </c>
    </row>
    <row r="29" spans="1:2" x14ac:dyDescent="0.2">
      <c r="A29" s="3" t="s">
        <v>65</v>
      </c>
      <c r="B29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TAX</vt:lpstr>
      <vt:lpstr>TAX_LONG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Meriem HAMDI-CHERIF</dc:creator>
  <cp:lastModifiedBy>Louis Viard</cp:lastModifiedBy>
  <dcterms:created xsi:type="dcterms:W3CDTF">2025-01-24T15:30:46Z</dcterms:created>
  <dcterms:modified xsi:type="dcterms:W3CDTF">2025-12-10T09:43:25Z</dcterms:modified>
</cp:coreProperties>
</file>